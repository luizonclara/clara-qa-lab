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  <sheet name="Resumo" sheetId="2" state="visible" r:id="rId4"/>
    <sheet name="Defeitos" sheetId="3" state="visible" r:id="rId5"/>
    <sheet name="Legenda" sheetId="4" state="visible" r:id="rId6"/>
  </sheets>
  <definedNames>
    <definedName function="false" hidden="true" localSheetId="0" name="_xlnm._FilterDatabase" vbProcedure="false">'Casos de Teste'!$A$1:$N$43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<sst xmlns="http://schemas.openxmlformats.org/spreadsheetml/2006/main" count="675" uniqueCount="332">
  <si>
    <t xml:space="preserve">ID</t>
  </si>
  <si>
    <t xml:space="preserve">Título</t>
  </si>
  <si>
    <t xml:space="preserve">Tipo</t>
  </si>
  <si>
    <t xml:space="preserve">Requisito</t>
  </si>
  <si>
    <t xml:space="preserve">Prioridade</t>
  </si>
  <si>
    <t xml:space="preserve">Pré-condições</t>
  </si>
  <si>
    <t xml:space="preserve">Passos</t>
  </si>
  <si>
    <t xml:space="preserve">Dados de teste</t>
  </si>
  <si>
    <t xml:space="preserve">Resultado esperado</t>
  </si>
  <si>
    <t xml:space="preserve">Resultado obtido</t>
  </si>
  <si>
    <t xml:space="preserve">Status</t>
  </si>
  <si>
    <t xml:space="preserve">Automatizado</t>
  </si>
  <si>
    <t xml:space="preserve">Evidência</t>
  </si>
  <si>
    <t xml:space="preserve">Observações</t>
  </si>
  <si>
    <t xml:space="preserve">CT-LOGIN-01</t>
  </si>
  <si>
    <t xml:space="preserve">Login com sucesso (Admin)</t>
  </si>
  <si>
    <t xml:space="preserve">Funcional (positivo)</t>
  </si>
  <si>
    <t xml:space="preserve">RF01 — Login e Perfis</t>
  </si>
  <si>
    <t xml:space="preserve">Alta</t>
  </si>
  <si>
    <t xml:space="preserve">Estar na tela de login do EscolaNotas, sem nenhum usuário logado</t>
  </si>
  <si>
    <t xml:space="preserve">1) Preencher o campo "Usuário"
2) Preencher o campo "Senha"
3) Clicar em "Entrar"</t>
  </si>
  <si>
    <t xml:space="preserve">Usuário: admin
Senha: admin123</t>
  </si>
  <si>
    <t xml:space="preserve">O sistema autentica e abre o Dashboard, exibindo o nome "Administrador" e o perfil "Administrador" na barra lateral.</t>
  </si>
  <si>
    <t xml:space="preserve">Conforme esperado</t>
  </si>
  <si>
    <t xml:space="preserve">Passou</t>
  </si>
  <si>
    <t xml:space="preserve">Sim — login.cy.js</t>
  </si>
  <si>
    <t xml:space="preserve">CT-LOGIN-02</t>
  </si>
  <si>
    <t xml:space="preserve">Login com senha incorreta</t>
  </si>
  <si>
    <t xml:space="preserve">Negativo</t>
  </si>
  <si>
    <t xml:space="preserve">Usuário: admin
Senha: teste (incorreta)</t>
  </si>
  <si>
    <t xml:space="preserve">O sistema não autentica, permanece na tela de login e exibe "Usuário ou senha inválidos."</t>
  </si>
  <si>
    <t xml:space="preserve">CT-LOGIN-03</t>
  </si>
  <si>
    <t xml:space="preserve">Login com o campo Senha vazio</t>
  </si>
  <si>
    <t xml:space="preserve">Média</t>
  </si>
  <si>
    <t xml:space="preserve">1) Preencher o campo "Usuário"
2) Deixar o campo "Senha" em branco
3) Clicar em "Entrar"</t>
  </si>
  <si>
    <t xml:space="preserve">Usuário: admin
Senha: (vazio)</t>
  </si>
  <si>
    <t xml:space="preserve">O sistema não autentica, permanece na tela de login e exibe "Preencha a senha."</t>
  </si>
  <si>
    <t xml:space="preserve">CORRIGIDO: o resultado esperado dizia "Preencha usuário e senha". O sistema tem 3 mensagens distintas; com o usuário preenchido e a senha vazia, a mensagem correta é "Preencha a senha."</t>
  </si>
  <si>
    <t xml:space="preserve">CT-LOGIN-04</t>
  </si>
  <si>
    <t xml:space="preserve">Login com o campo Usuário vazio</t>
  </si>
  <si>
    <t xml:space="preserve">1) Deixar o campo "Usuário" em branco
2) Preencher o campo "Senha"
3) Clicar em "Entrar"</t>
  </si>
  <si>
    <t xml:space="preserve">Usuário: (vazio)
Senha: admin123</t>
  </si>
  <si>
    <t xml:space="preserve">O sistema não autentica, permanece na tela de login e exibe "Preencha o usuário."</t>
  </si>
  <si>
    <t xml:space="preserve">—</t>
  </si>
  <si>
    <t xml:space="preserve">Não executado</t>
  </si>
  <si>
    <t xml:space="preserve">Não</t>
  </si>
  <si>
    <t xml:space="preserve">NOVO: cenário que faltava. O sistema tem mensagem própria para este caso.</t>
  </si>
  <si>
    <t xml:space="preserve">CT-LOGIN-05</t>
  </si>
  <si>
    <t xml:space="preserve">Login com Usuário e Senha vazios</t>
  </si>
  <si>
    <t xml:space="preserve">1) Deixar os dois campos em branco
2) Clicar em "Entrar"</t>
  </si>
  <si>
    <t xml:space="preserve">Usuário: (vazio)
Senha: (vazio)</t>
  </si>
  <si>
    <t xml:space="preserve">O sistema não autentica, permanece na tela de login e exibe "Preencha usuário e senha."</t>
  </si>
  <si>
    <t xml:space="preserve">NOVO: cenário que faltava. É este o caso que produz a mensagem que estava no CT-LOGIN-03.</t>
  </si>
  <si>
    <t xml:space="preserve">CT-AUTH-01</t>
  </si>
  <si>
    <t xml:space="preserve">Permissão — Admin vê o menu completo</t>
  </si>
  <si>
    <t xml:space="preserve">Permissão (RBAC)</t>
  </si>
  <si>
    <t xml:space="preserve">1) Preencher o campo "Usuário"
2) Preencher o campo "Senha"
3) Clicar em "Entrar"
4) Observar o menu lateral</t>
  </si>
  <si>
    <t xml:space="preserve">Abre o Dashboard com o perfil "Administrador". O menu lateral exibe as 9 opções: Dashboard, Alunos, Professores, Disciplinas, Turmas, Lançar Notas, Boletim, Relatórios e Requisitos.</t>
  </si>
  <si>
    <t xml:space="preserve">Sim — permissoes.cy.js</t>
  </si>
  <si>
    <t xml:space="preserve">ID padronizado (estava “CT- AUTH- 01”).</t>
  </si>
  <si>
    <t xml:space="preserve">CT-AUTH-02</t>
  </si>
  <si>
    <t xml:space="preserve">Permissão — Coordenador não vê Professores e Disciplinas</t>
  </si>
  <si>
    <t xml:space="preserve">Usuário: coordenador
Senha: coord123</t>
  </si>
  <si>
    <t xml:space="preserve">Abre o Dashboard com o perfil "Coordenador". O menu exibe Dashboard, Alunos, Turmas, Lançar Notas, Boletim, Relatórios e Requisitos, e NÃO exibe Professores nem Disciplinas.</t>
  </si>
  <si>
    <t xml:space="preserve">Acrescentado Requisitos à lista de menus permitidos.</t>
  </si>
  <si>
    <t xml:space="preserve">CT-AUTH-03</t>
  </si>
  <si>
    <t xml:space="preserve">Permissão — Professor vê apenas os menus permitidos</t>
  </si>
  <si>
    <t xml:space="preserve">Usuário: professor
Senha: prof123</t>
  </si>
  <si>
    <t xml:space="preserve">Abre o Dashboard com o perfil "Professor". O menu exibe apenas Dashboard, Lançar Notas, Boletim e Requisitos, e NÃO exibe Alunos, Professores, Disciplinas, Turmas nem Relatórios.</t>
  </si>
  <si>
    <t xml:space="preserve">CORRIGIDO: o resultado esperado omitia o menu Requisitos, que o perfil Professor também acessa.</t>
  </si>
  <si>
    <t xml:space="preserve">CT-ALUNO-01</t>
  </si>
  <si>
    <t xml:space="preserve">Cadastro de aluno com sucesso</t>
  </si>
  <si>
    <t xml:space="preserve">RF02 — Alunos</t>
  </si>
  <si>
    <t xml:space="preserve">Estar logada como Admin, na tela de Alunos</t>
  </si>
  <si>
    <t xml:space="preserve">1) Clicar em "+ Novo aluno"
2) Preencher os campos do formulário com a massa de teste
3) Clicar em "Salvar aluno"</t>
  </si>
  <si>
    <t xml:space="preserve">Nome completo: Teste de Oliveira
Matrícula: 140325
CPF: 999.999.999-99
Data de nascimento: 14/03/2006
Turma: 1A
Responsável: Teste Mãe de Oliveira
Telefone: (11) 99999-9999
E-mail: teste@teste.com
Status: Ativo</t>
  </si>
  <si>
    <t xml:space="preserve">O sistema exibe "Aluno cadastrado!" e o novo aluno passa a aparecer na lista "Alunos cadastrados".</t>
  </si>
  <si>
    <t xml:space="preserve">Sim — aluno.cy.js</t>
  </si>
  <si>
    <t xml:space="preserve">CT-ALUNO-02</t>
  </si>
  <si>
    <t xml:space="preserve">Cadastro de aluno com matrícula duplicada</t>
  </si>
  <si>
    <t xml:space="preserve">Estar logada como Admin, na tela de Alunos. Usa a matrícula 2026001, do aluno "Ana Beatriz Souza" que já vem cadastrado no sistema.</t>
  </si>
  <si>
    <t xml:space="preserve">Nome completo: Testando
Matrícula: 2026001 (já existente)
CPF: 222.222.222-22
Data de nascimento: 10/08/2008
Turma: 2B
Responsável: Testando Mãe
Telefone: (11) 99999-9999
E-mail: testando@teste.com
Status: Ativo</t>
  </si>
  <si>
    <t xml:space="preserve">O sistema não cadastra o aluno, destaca o campo Matrícula com "Matrícula numérica e única." e exibe o aviso "Corrija os campos destacados."</t>
  </si>
  <si>
    <t xml:space="preserve">CORRIGIDO: a pré-condição dependia do CT-ALUNO-01 ter rodado antes. Agora usa a massa que já vem no sistema, e o caso roda sozinho.</t>
  </si>
  <si>
    <t xml:space="preserve">CT-ALUNO-03</t>
  </si>
  <si>
    <t xml:space="preserve">Cadastro de aluno com número no nome</t>
  </si>
  <si>
    <t xml:space="preserve">Exploratório</t>
  </si>
  <si>
    <t xml:space="preserve">Baixa</t>
  </si>
  <si>
    <t xml:space="preserve">Nome completo: C12
Matrícula: 2131
CPF: 222.222.222-22
Data de nascimento: 10/08/2007
Turma: 2B
Responsável: Testando Mãe
Telefone: (11) 99999-9999
E-mail: teste@teste.com
Status: Ativo</t>
  </si>
  <si>
    <t xml:space="preserve">Comportamento não especificado nos requisitos. O RF02 exige apenas nome obrigatório com mín. 3 caracteres, sem regra de formato.</t>
  </si>
  <si>
    <t xml:space="preserve">O sistema cadastrou normalmente e exibiu "Aluno cadastrado!"</t>
  </si>
  <si>
    <t xml:space="preserve">Pendente</t>
  </si>
  <si>
    <t xml:space="preserve">Lacuna de requisito, não defeito. Pergunta para o PO: o nome do aluno deve ter regra de formato? Prioridade rebaixada para Baixa por não haver regra violada.</t>
  </si>
  <si>
    <t xml:space="preserve">CT-ALUNO-04</t>
  </si>
  <si>
    <t xml:space="preserve">Cadastro com nome de menos de 3 caracteres</t>
  </si>
  <si>
    <t xml:space="preserve">Nome completo: Ts
Matrícula: 9999
CPF: 123.456.789-10
Data de nascimento: 08/10/2006
Turma: 2B
Responsável: Testando Mãe
Telefone: (11) 99999-9999
E-mail: teste@teste.com
Status: Ativo</t>
  </si>
  <si>
    <t xml:space="preserve">O sistema não cadastra o aluno, destaca o campo Nome completo com "Nome com pelo menos 3 caracteres." e exibe o aviso "Corrija os campos destacados."</t>
  </si>
  <si>
    <t xml:space="preserve">CT-ALUNO-05</t>
  </si>
  <si>
    <t xml:space="preserve">Cadastro com matrícula não numérica</t>
  </si>
  <si>
    <t xml:space="preserve">Nome completo: Teste Um
Matrícula: 12Ma34
CPF: 999.999.999-99
Data de nascimento: 20/03/2010
Turma: 1A
Responsável: Teste Mãe
Telefone: (11) 99999-9999
E-mail: teste@teste.com
Status: Ativo</t>
  </si>
  <si>
    <t xml:space="preserve">CT-ALUNO-06</t>
  </si>
  <si>
    <t xml:space="preserve">Cadastro com CPF em formato incompleto</t>
  </si>
  <si>
    <t xml:space="preserve">Nome completo: Teste Dois
Matrícula: 1111
CPF: 123.456
Data de nascimento: 20/03/2010
Turma: 1A
Responsável: Teste Mãe
Telefone: (11) 99999-9999
E-mail: teste@teste.com
Status: Ativo</t>
  </si>
  <si>
    <t xml:space="preserve">O sistema não cadastra o aluno, destaca o campo CPF com "CPF no formato 000.000.000-00." e exibe o aviso "Corrija os campos destacados."</t>
  </si>
  <si>
    <t xml:space="preserve">CT-ALUNO-07</t>
  </si>
  <si>
    <t xml:space="preserve">Cadastro com e-mail em formato inválido</t>
  </si>
  <si>
    <t xml:space="preserve">Nome completo: Teste Três
Matrícula: 1234
CPF: 123.456.789-10
Data de nascimento: 20/03/2011
Turma: 1A
Responsável: Teste Mãe
Telefone: (11) 99999-9999
E-mail: teste%teste.com
Status: Ativo</t>
  </si>
  <si>
    <t xml:space="preserve">O sistema não cadastra o aluno, destaca o campo E-mail com "E-mail obrigatório e válido." e exibe o aviso "Corrija os campos destacados."</t>
  </si>
  <si>
    <t xml:space="preserve">Reexecutar</t>
  </si>
  <si>
    <t xml:space="preserve">CORRIGIDO: a massa tinha CPF 123.456, também inválido. Com dois campos inválidos não dá para saber qual regra reprovou o cadastro. CPF trocado por um válido — reexecutar. O teste automatizado já usava CPF válido: a divergência estava só na documentação manual.</t>
  </si>
  <si>
    <t xml:space="preserve">CT-ALUNO-08</t>
  </si>
  <si>
    <t xml:space="preserve">Cadastro com telefone vazio</t>
  </si>
  <si>
    <t xml:space="preserve">Nome completo: Teste Quatro
Matrícula: 12345
CPF: 123.456.789-10
Data de nascimento: 20/03/2011
Turma: 1A
Responsável: Teste Mãe
Telefone: (vazio)
E-mail: teste@teste.com
Status: Ativo</t>
  </si>
  <si>
    <t xml:space="preserve">O sistema não cadastra o aluno, destaca o campo Telefone com "Telefone obrigatório no formato (00) 00000-0000." e exibe o aviso "Corrija os campos destacados."</t>
  </si>
  <si>
    <t xml:space="preserve">CT-ALUNO-09</t>
  </si>
  <si>
    <t xml:space="preserve">Salvar o formulário com todos os campos vazios</t>
  </si>
  <si>
    <t xml:space="preserve">1) Clicar em "+ Novo aluno"
2) Não preencher nenhum campo
3) Clicar em "Salvar aluno"</t>
  </si>
  <si>
    <t xml:space="preserve">Todos os campos em branco.
Obs.: o campo Status é uma lista que já vem com "Ativo" e não pode ficar vazio.</t>
  </si>
  <si>
    <t xml:space="preserve">O sistema não cadastra o aluno, destaca todos os campos obrigatórios e exibe o aviso "Corrija os campos destacados."</t>
  </si>
  <si>
    <t xml:space="preserve">CORRIGIDO: a massa dizia "Status: (vazio)", mas o campo é uma lista com valor padrão e não aceita vazio.</t>
  </si>
  <si>
    <t xml:space="preserve">CT-ALUNO-10</t>
  </si>
  <si>
    <t xml:space="preserve">Cadastro sem selecionar a turma</t>
  </si>
  <si>
    <t xml:space="preserve">Nome completo: Teste Cinco
Matrícula: 123451
CPF: 123.456.789-10
Data de nascimento: 20/03/2011
Turma: (não selecionar)
Responsável: Teste Mãe
Telefone: (11) 99999-9999
E-mail: teste@teste.com
Status: Ativo</t>
  </si>
  <si>
    <t xml:space="preserve">O sistema não cadastra o aluno, destaca o campo Turma com "Selecione uma turma." e exibe o aviso "Corrija os campos destacados."</t>
  </si>
  <si>
    <t xml:space="preserve">CORRIGIDO: a massa também deixava o Telefone vazio, que é outro campo obrigatório. Telefone preenchido — reexecutar. O teste automatizado já preenchia o telefone: a divergência estava só na documentação manual.</t>
  </si>
  <si>
    <t xml:space="preserve">CT-ALUNO-11</t>
  </si>
  <si>
    <t xml:space="preserve">Cadastro sem preencher o responsável</t>
  </si>
  <si>
    <t xml:space="preserve">Nome completo: Teste Seis
Matrícula: 123452
CPF: 123.456.789-10
Data de nascimento: 20/03/2010
Turma: 2B
Responsável: (vazio)
Telefone: (11) 99999-9999
E-mail: teste@teste.com
Status: Ativo</t>
  </si>
  <si>
    <t xml:space="preserve">O sistema não cadastra o aluno, destaca o campo Responsável com "Informe o responsável." e exibe o aviso "Corrija os campos destacados."</t>
  </si>
  <si>
    <t xml:space="preserve">CORRIGIDO: a massa também deixava o Telefone vazio. Além disso a turma estava escrita "2b" (minúscula); o valor correto é "2B". O teste automatizado já estava correto nos dois pontos.</t>
  </si>
  <si>
    <t xml:space="preserve">CT-ALUNO-12</t>
  </si>
  <si>
    <t xml:space="preserve">Editar um aluno existente</t>
  </si>
  <si>
    <t xml:space="preserve">Estar logada como Admin, na tela de Alunos, e existir o aluno "Ana Beatriz Souza" (matrícula 2026001).</t>
  </si>
  <si>
    <t xml:space="preserve">1) Na lista de alunos, localizar "Ana Beatriz Souza"
2) Clicar em "Editar" na linha desse aluno
3) Alterar o Telefone para (11) 98888-7777
4) Clicar em "Salvar aluno"</t>
  </si>
  <si>
    <t xml:space="preserve">Aluno: Ana Beatriz Souza (matrícula 2026001)
Campo alterado — Telefone: (11) 98888-7777</t>
  </si>
  <si>
    <t xml:space="preserve">O sistema exibe "Aluno atualizado!" e a lista passa a mostrar o telefone atualizado, sem criar um registro novo — continua sendo o mesmo aluno, apenas com o dado alterado.</t>
  </si>
  <si>
    <t xml:space="preserve">CT-ALUNO-13</t>
  </si>
  <si>
    <t xml:space="preserve">Excluir um aluno</t>
  </si>
  <si>
    <t xml:space="preserve">Estar logada como Admin, na tela de Alunos, e existir o aluno "Carla Mendes" (matrícula 2026003).</t>
  </si>
  <si>
    <t xml:space="preserve">1) Na lista de alunos, localizar "Carla Mendes"
2) Clicar em "Excluir" na linha desse aluno
3) No pop-up de confirmação, clicar em "Excluir"</t>
  </si>
  <si>
    <t xml:space="preserve">Aluno: Carla Mendes (matrícula 2026003)</t>
  </si>
  <si>
    <t xml:space="preserve">O sistema exibe "Aluno excluído." e "Carla Mendes" deixa de aparecer na lista. As notas do aluno também são removidas.</t>
  </si>
  <si>
    <t xml:space="preserve">CT-ALUNO-14</t>
  </si>
  <si>
    <t xml:space="preserve">Editar aluno que está cadastrado sem e-mail</t>
  </si>
  <si>
    <t xml:space="preserve">Estar logada como Admin, na tela de Alunos. O aluno "Bruno Henrique Lima" (matrícula 2026002) já vem cadastrado no sistema sem e-mail.</t>
  </si>
  <si>
    <t xml:space="preserve">1) Na lista de alunos, localizar "Bruno Henrique Lima"
2) Clicar em "Editar"
3) Alterar apenas o Telefone para (11) 91234-5678
4) Clicar em "Salvar aluno"</t>
  </si>
  <si>
    <t xml:space="preserve">Aluno: Bruno Henrique Lima (matrícula 2026002)
Campo alterado — Telefone: (11) 91234-5678</t>
  </si>
  <si>
    <t xml:space="preserve">O sistema deveria salvar a alteração do telefone, já que o aluno foi criado pelo próprio sistema nesse estado.</t>
  </si>
  <si>
    <t xml:space="preserve">O sistema bloqueia o salvamento, destaca o campo E-mail com "E-mail obrigatório e válido." e não grava a alteração. É impossível editar qualquer dado do aluno sem inventar um e-mail.</t>
  </si>
  <si>
    <t xml:space="preserve">Falhou</t>
  </si>
  <si>
    <t xml:space="preserve">NOVO — defeito confirmado. Ver aba Defeitos (BUG-01). Atinge as matrículas 2026002 e 2026004.</t>
  </si>
  <si>
    <t xml:space="preserve">CT-DISC-01</t>
  </si>
  <si>
    <t xml:space="preserve">Cadastro de nova disciplina com sucesso</t>
  </si>
  <si>
    <t xml:space="preserve">RF03 — Disciplinas e Professores</t>
  </si>
  <si>
    <t xml:space="preserve">Estar logada como Admin, na tela de Disciplinas</t>
  </si>
  <si>
    <t xml:space="preserve">1) Preencher os campos do formulário com a massa de teste
2) Clicar em "Salvar"</t>
  </si>
  <si>
    <t xml:space="preserve">Nome: Geografia
Carga horária (h): 60</t>
  </si>
  <si>
    <t xml:space="preserve">O sistema exibe "Disciplina cadastrada!" e a nova disciplina passa a aparecer na lista de Disciplinas.</t>
  </si>
  <si>
    <t xml:space="preserve">Sim — disc.cy.js</t>
  </si>
  <si>
    <t xml:space="preserve">CORRIGIDO: a carga era 70 aqui e 60 na pré-condição do CT-DISC-03. Padronizado em 60. Atenção: no disc.cy.js o teste correspondente está com o ID escrito "CT-DSIC-01" (letras trocadas) — corrigir na próxima vez que mexer no arquivo.</t>
  </si>
  <si>
    <t xml:space="preserve">CT-DISC-02</t>
  </si>
  <si>
    <t xml:space="preserve">Cadastro de disciplina com o nome vazio</t>
  </si>
  <si>
    <t xml:space="preserve">1) Deixar o campo "Nome" em branco
2) Preencher a Carga horária
3) Clicar em "Salvar"</t>
  </si>
  <si>
    <t xml:space="preserve">Nome: (vazio)
Carga horária (h): 70</t>
  </si>
  <si>
    <t xml:space="preserve">O sistema não cadastra a disciplina, destaca o campo Nome com "Nome obrigatório." e exibe o aviso "Corrija os campos."</t>
  </si>
  <si>
    <t xml:space="preserve">CT-DISC-03</t>
  </si>
  <si>
    <t xml:space="preserve">Editar uma disciplina com sucesso</t>
  </si>
  <si>
    <t xml:space="preserve">Estar logada como Admin, na tela de Disciplinas, e existir a disciplina "Geografia" com 60h.</t>
  </si>
  <si>
    <t xml:space="preserve">1) Localizar "Geografia" na lista
2) Clicar em "Editar"
3) Alterar a Carga horária para 80
4) Clicar em "Salvar"</t>
  </si>
  <si>
    <t xml:space="preserve">Disciplina: Geografia
Campo alterado — Carga horária: 80</t>
  </si>
  <si>
    <t xml:space="preserve">O sistema exibe "Disciplina atualizada!" e a lista passa a mostrar 80h para Geografia, sem criar um registro novo.</t>
  </si>
  <si>
    <t xml:space="preserve">CORRIGIDO: a massa dizia "80h". O "h" é só como o sistema exibe na lista; no campo digita-se apenas o número.</t>
  </si>
  <si>
    <t xml:space="preserve">CT-DISC-04</t>
  </si>
  <si>
    <t xml:space="preserve">Excluir uma disciplina com sucesso</t>
  </si>
  <si>
    <t xml:space="preserve">Estar logada como Admin, na tela de Disciplinas, e existir a disciplina "Espanhol" sem professores vinculados.</t>
  </si>
  <si>
    <t xml:space="preserve">1) Localizar "Espanhol" na lista
2) Clicar em "Excluir"
3) Confirmar a exclusão</t>
  </si>
  <si>
    <t xml:space="preserve">Disciplina: Espanhol</t>
  </si>
  <si>
    <t xml:space="preserve">O sistema exibe "Disciplina excluída." e "Espanhol" deixa de aparecer na lista de disciplinas.</t>
  </si>
  <si>
    <t xml:space="preserve">CT-DISC-05</t>
  </si>
  <si>
    <t xml:space="preserve">Cadastro de disciplina com a carga horária vazia</t>
  </si>
  <si>
    <t xml:space="preserve">1) Preencher o campo "Nome"
2) Deixar a Carga horária em branco
3) Clicar em "Salvar"</t>
  </si>
  <si>
    <t xml:space="preserve">Nome: Geografia
Carga horária (h): (vazio)</t>
  </si>
  <si>
    <t xml:space="preserve">O sistema não cadastra a disciplina, destaca o campo Carga horária com "Carga horária numérica maior que 0." e exibe o aviso "Corrija os campos."</t>
  </si>
  <si>
    <t xml:space="preserve">CT-DISC-06</t>
  </si>
  <si>
    <t xml:space="preserve">Cadastro de disciplina com números no nome</t>
  </si>
  <si>
    <t xml:space="preserve">Nome: 123
Carga horária (h): 70</t>
  </si>
  <si>
    <t xml:space="preserve">Comportamento não especificado nos requisitos. O RF03 exige apenas nome obrigatório, sem regra de formato ou tamanho mínimo.</t>
  </si>
  <si>
    <t xml:space="preserve">O sistema cadastrou normalmente e exibiu "Disciplina cadastrada!"</t>
  </si>
  <si>
    <t xml:space="preserve">CORRIGIDO: o resultado esperado dizia "não deve permitir o cadastro", mas nenhum requisito proíbe números no nome — logo não é defeito, e sim lacuna de requisito. Mesmo tratamento dado ao CT-ALUNO-03.</t>
  </si>
  <si>
    <t xml:space="preserve">CT-DISC-07</t>
  </si>
  <si>
    <t xml:space="preserve">Formulário de edição continua ativo após excluir a disciplina em edição</t>
  </si>
  <si>
    <t xml:space="preserve">Estar logada como Admin, na tela de Disciplinas, com a disciplina "História" cadastrada.</t>
  </si>
  <si>
    <t xml:space="preserve">1) Clicar em "Editar" na disciplina "História"
2) Conferir que o formulário abre preenchido, com o título "Editar disciplina"
3) Sem sair da edição, clicar em "Excluir" na linha da mesma disciplina
4) Confirmar a exclusão
5) Alterar a Carga horária e clicar em "Salvar"</t>
  </si>
  <si>
    <t xml:space="preserve">Disciplina: História (60h)
Campo alterado após a exclusão — Carga horária: 99</t>
  </si>
  <si>
    <t xml:space="preserve">Ao excluir o registro que está em edição, o sistema deveria limpar ou fechar o formulário, impedindo a edição de algo que não existe mais.</t>
  </si>
  <si>
    <t xml:space="preserve">O formulário permanece preenchido e com o título "Editar disciplina". Ao clicar em "Salvar", a aplicação lança a exceção "TypeError: Cannot set properties of undefined (setting 'nome')" e nada é gravado. Na tela não aparece confirmação nem mensagem de erro: para o usuário, a falha é silenciosa.</t>
  </si>
  <si>
    <t xml:space="preserve">Defeito confirmado. Ver aba Defeitos (BUG-02). Tipo alterado de Exploratório para Negativo: há falha funcional, não apenas comportamento não especificado. Resultado obtido detalhado após execução automatizada, que expôs a exceção de JavaScript por trás da falha silenciosa.</t>
  </si>
  <si>
    <t xml:space="preserve">CT-DISC-08</t>
  </si>
  <si>
    <t xml:space="preserve">Cadastro com carga horária igual a zero</t>
  </si>
  <si>
    <t xml:space="preserve">Nome: Matemática
Carga horária (h): 0</t>
  </si>
  <si>
    <t xml:space="preserve">CORRIGIDO: o aviso esperado era "Corrija os campos destacados." Na tela de Disciplinas o sistema exibe "Corrija os campos."</t>
  </si>
  <si>
    <t xml:space="preserve">CT-DISC-09</t>
  </si>
  <si>
    <t xml:space="preserve">Cadastro com carga horária negativa</t>
  </si>
  <si>
    <t xml:space="preserve">Nome: Espanhol
Carga horária (h): -25</t>
  </si>
  <si>
    <t xml:space="preserve">CORRIGIDO: mesmo ajuste de mensagem do CT-DISC-08.</t>
  </si>
  <si>
    <t xml:space="preserve">CT-DISC-10</t>
  </si>
  <si>
    <t xml:space="preserve">Cadastro com letras na carga horária</t>
  </si>
  <si>
    <t xml:space="preserve">Nome: Inglês
Carga horária (h): 1a2</t>
  </si>
  <si>
    <t xml:space="preserve">CT-DISC-11</t>
  </si>
  <si>
    <t xml:space="preserve">Cadastro com carga horária decimal</t>
  </si>
  <si>
    <t xml:space="preserve">Nome: Física
Carga horária (h): 70.5</t>
  </si>
  <si>
    <t xml:space="preserve">Comportamento não especificado nos requisitos. O RF03 exige apenas carga horária numérica maior que 0, sem dizer se aceita decimal.</t>
  </si>
  <si>
    <t xml:space="preserve">O campo aceita a digitação de "70.5" normalmente. Ao salvar, o sistema recusa o cadastro com "Carga horária numérica maior que 0." e a disciplina não é criada.</t>
  </si>
  <si>
    <t xml:space="preserve">CORRIGIDO: o resultado obtido dizia que o sistema não permite digitar o ponto. Verificado: o campo é texto livre e aceita o ponto; a recusa acontece só na validação ao salvar. Pergunta para o PO: carga horária deve aceitar decimal?</t>
  </si>
  <si>
    <t xml:space="preserve">CT-DISC-12</t>
  </si>
  <si>
    <t xml:space="preserve">Cadastro com caractere especial no nome</t>
  </si>
  <si>
    <t xml:space="preserve">Nome: Quí%mica
Carga horária (h): 50</t>
  </si>
  <si>
    <t xml:space="preserve">Comportamento não especificado nos requisitos. O RF03 não define regra de formato para o nome.</t>
  </si>
  <si>
    <t xml:space="preserve">Mesma lacuna de requisito do CT-DISC-06. Vale levar as duas juntas ao PO.</t>
  </si>
  <si>
    <t xml:space="preserve">CT-DISC-13</t>
  </si>
  <si>
    <t xml:space="preserve">Excluir disciplina vinculada a um professor</t>
  </si>
  <si>
    <t xml:space="preserve">Estar logada como Admin. Existir a disciplina "Matemática" e o professor "Teste A" vinculado apenas a ela.</t>
  </si>
  <si>
    <t xml:space="preserve">1) Ir para a tela de Disciplinas
2) Localizar "Matemática" e clicar em "Excluir"
3) Confirmar a exclusão
4) Ir para a tela de Professores
5) Localizar "Teste A" e observar a coluna Disciplinas</t>
  </si>
  <si>
    <t xml:space="preserve">Disciplina: Matemática
Professor vinculado: Teste A</t>
  </si>
  <si>
    <t xml:space="preserve">O sistema deveria avisar que existe professor vinculado ou impedir a exclusão, já que o RF03 exige ao menos 1 disciplina por professor.</t>
  </si>
  <si>
    <t xml:space="preserve">A disciplina é excluída sem nenhum aviso. Na lista de Professores, "Teste A" passa a exibir um traço ("—") no lugar da disciplina, ficando sem nenhuma disciplina válida e violando a regra do próprio requisito. O efeito atinge todos os professores ligados à disciplina: "Carlos Pereira", que já vem cadastrado, passou a exibir "— Ciências".</t>
  </si>
  <si>
    <t xml:space="preserve">Defeito confirmado. Ver aba Defeitos (BUG-03). Resultado obtido detalhado após verificação: o vínculo não é removido, fica apontando para uma disciplina inexistente.</t>
  </si>
  <si>
    <t xml:space="preserve">CT-PROF-01</t>
  </si>
  <si>
    <t xml:space="preserve">Cadastro de professor com sucesso</t>
  </si>
  <si>
    <t xml:space="preserve">Estar logada como Admin, na tela de Professores, com ao menos uma disciplina cadastrada</t>
  </si>
  <si>
    <t xml:space="preserve">1) Preencher o campo "Nome"
2) Preencher o campo "E-mail"
3) Marcar ao menos uma disciplina em "Disciplinas que leciona"
4) Clicar em "Salvar"</t>
  </si>
  <si>
    <t xml:space="preserve">Nome: Teste A
E-mail: teste@teste.com
Disciplinas que leciona: Português</t>
  </si>
  <si>
    <t xml:space="preserve">O sistema exibe "Professor cadastrado!" e o novo professor passa a aparecer na lista de Professores.</t>
  </si>
  <si>
    <t xml:space="preserve">CORRIGIDO: nome alterado de "Teste" para "Teste A", que é o professor usado como pré-condição nos CT-PROF-06 e 07. Pré-condição passou a exigir disciplina cadastrada, sem a qual não há o que marcar.</t>
  </si>
  <si>
    <t xml:space="preserve">CT-PROF-02</t>
  </si>
  <si>
    <t xml:space="preserve">Cadastro de professor com nome de menos de 3 caracteres</t>
  </si>
  <si>
    <t xml:space="preserve">1) Preencher o campo "Nome"
2) Preencher o campo "E-mail"
3) Marcar uma disciplina
4) Clicar em "Salvar"</t>
  </si>
  <si>
    <t xml:space="preserve">Nome: Pr
E-mail: teste@teste.com
Disciplinas que leciona: Inglês</t>
  </si>
  <si>
    <t xml:space="preserve">O sistema não cadastra o professor, destaca o campo Nome com "Nome obrigatório (mín. 3)." e exibe o aviso "Corrija os campos."</t>
  </si>
  <si>
    <t xml:space="preserve">CORRIGIDO: o aviso esperado era "Corrija os campos destacados." Na tela de Professores o sistema exibe "Corrija os campos."</t>
  </si>
  <si>
    <t xml:space="preserve">CT-PROF-03</t>
  </si>
  <si>
    <t xml:space="preserve">Cadastro de professor com e-mail inválido</t>
  </si>
  <si>
    <t xml:space="preserve">Nome: Teste B
E-mail: teste%teste.com
Disciplinas que leciona: Espanhol</t>
  </si>
  <si>
    <t xml:space="preserve">O sistema não cadastra o professor, destaca o campo E-mail com "E-mail válido obrigatório." e exibe o aviso "Corrija os campos."</t>
  </si>
  <si>
    <t xml:space="preserve">CORRIGIDO: mesmo ajuste de mensagem do CT-PROF-02. Nome trocado para "Teste B" para não colidir com o professor do CT-PROF-01.</t>
  </si>
  <si>
    <t xml:space="preserve">CT-PROF-04</t>
  </si>
  <si>
    <t xml:space="preserve">Cadastro de professor sem selecionar disciplina</t>
  </si>
  <si>
    <t xml:space="preserve">1) Preencher o campo "Nome"
2) Preencher o campo "E-mail"
3) Não marcar nenhuma disciplina
4) Clicar em "Salvar"</t>
  </si>
  <si>
    <t xml:space="preserve">Nome: Teste C
E-mail: teste@teste.com
Disciplinas que leciona: (nenhuma marcada)</t>
  </si>
  <si>
    <t xml:space="preserve">O sistema não cadastra o professor, destaca o bloco Disciplinas que leciona com "Selecione pelo menos uma disciplina." e exibe o aviso "Corrija os campos."</t>
  </si>
  <si>
    <t xml:space="preserve">CORRIGIDO: mesmo ajuste de mensagem do CT-PROF-02.</t>
  </si>
  <si>
    <t xml:space="preserve">CT-PROF-05</t>
  </si>
  <si>
    <t xml:space="preserve">Salvar o formulário de professor com todos os campos vazios</t>
  </si>
  <si>
    <t xml:space="preserve">1) Não preencher nenhum campo
2) Clicar em "Salvar"</t>
  </si>
  <si>
    <t xml:space="preserve">Nome: (vazio)
E-mail: (vazio)
Disciplinas que leciona: (nenhuma marcada)</t>
  </si>
  <si>
    <t xml:space="preserve">O sistema não cadastra o professor, destaca os três campos e exibe o aviso "Corrija os campos."</t>
  </si>
  <si>
    <t xml:space="preserve">CT-PROF-06</t>
  </si>
  <si>
    <t xml:space="preserve">Editar um professor com sucesso</t>
  </si>
  <si>
    <t xml:space="preserve">Estar logada como Admin, na tela de Professores, e existir o professor "Teste A" cadastrado (criado no CT-PROF-01).</t>
  </si>
  <si>
    <t xml:space="preserve">1) Localizar "Teste A" na lista de Professores
2) Clicar em "Editar"
3) Alterar o E-mail para teste1@teste.com
4) Clicar em "Salvar"</t>
  </si>
  <si>
    <t xml:space="preserve">Professor: Teste A
Campo alterado — E-mail: teste1@teste.com</t>
  </si>
  <si>
    <t xml:space="preserve">O sistema exibe "Professor atualizado!" e a lista passa a mostrar teste1@teste.com para "Teste A", sem criar um registro novo.</t>
  </si>
  <si>
    <t xml:space="preserve">CORRIGIDO: a pré-condição citava "Teste A", mas nenhum caso anterior chegava a criá-lo — o CT-PROF-03 usava esse nome num cenário que falha de propósito. Agora o CT-PROF-01 cria "Teste A" e a dependência está declarada.</t>
  </si>
  <si>
    <t xml:space="preserve">CT-PROF-07</t>
  </si>
  <si>
    <t xml:space="preserve">Excluir um professor com sucesso</t>
  </si>
  <si>
    <t xml:space="preserve">Estar logada como Admin, na tela de Professores, e existir o professor "Teste A" cadastrado.</t>
  </si>
  <si>
    <t xml:space="preserve">1) Localizar "Teste A" na lista de Professores
2) Clicar em "Excluir"
3) Confirmar a exclusão</t>
  </si>
  <si>
    <t xml:space="preserve">Professor: Teste A</t>
  </si>
  <si>
    <t xml:space="preserve">O sistema exibe "Professor excluído." e "Teste A" deixa de aparecer na lista de Professores.</t>
  </si>
  <si>
    <t xml:space="preserve">CORRIGIDO: dependência de pré-condição declarada, igual ao CT-PROF-06.</t>
  </si>
  <si>
    <t xml:space="preserve">Resumo da execução — Sistema EscolaNotas</t>
  </si>
  <si>
    <t xml:space="preserve">Todos os números abaixo são fórmulas que leem a aba 'Casos de Teste'. Ao atualizar um status lá, o resumo se atualiza sozinho.</t>
  </si>
  <si>
    <t xml:space="preserve">Qtde</t>
  </si>
  <si>
    <t xml:space="preserve">%</t>
  </si>
  <si>
    <t xml:space="preserve">Total</t>
  </si>
  <si>
    <t xml:space="preserve">Tipo de teste</t>
  </si>
  <si>
    <t xml:space="preserve">Automação</t>
  </si>
  <si>
    <t xml:space="preserve">Ainda não automatizado</t>
  </si>
  <si>
    <t xml:space="preserve">A matriz manual é maior que a automação de propósito: automatiza-se o que é repetitivo e estável, não tudo.</t>
  </si>
  <si>
    <t xml:space="preserve">Cobertura por requisito</t>
  </si>
  <si>
    <t xml:space="preserve">Casos</t>
  </si>
  <si>
    <t xml:space="preserve">Situação</t>
  </si>
  <si>
    <t xml:space="preserve">Coberto — login, mensagens de campo vazio e RBAC dos 3 perfis</t>
  </si>
  <si>
    <t xml:space="preserve">Coberto — cadastro, validações de campo, edição e exclusão</t>
  </si>
  <si>
    <t xml:space="preserve">Coberto — disciplinas e professores</t>
  </si>
  <si>
    <t xml:space="preserve">RF04 — Turmas</t>
  </si>
  <si>
    <t xml:space="preserve">SEM COBERTURA — nenhum caso escrito</t>
  </si>
  <si>
    <t xml:space="preserve">RF05 — Lançamento de notas</t>
  </si>
  <si>
    <t xml:space="preserve">RF06 — Situação por disciplina</t>
  </si>
  <si>
    <t xml:space="preserve">RF07 — Situação geral do aluno</t>
  </si>
  <si>
    <t xml:space="preserve">RF08 — Boletim e relatórios</t>
  </si>
  <si>
    <t xml:space="preserve">Caso de teste</t>
  </si>
  <si>
    <t xml:space="preserve">Severidade</t>
  </si>
  <si>
    <t xml:space="preserve">Passos para reproduzir</t>
  </si>
  <si>
    <t xml:space="preserve">Análise / impacto</t>
  </si>
  <si>
    <t xml:space="preserve">BUG-01</t>
  </si>
  <si>
    <t xml:space="preserve">Aluno cadastrado sem e-mail não pode ser editado</t>
  </si>
  <si>
    <t xml:space="preserve">1) Logar como Admin e ir para Alunos
2) Localizar "Bruno Henrique Lima" (matrícula 2026002), que já vem no sistema sem e-mail
3) Clicar em "Editar"
4) Alterar apenas o Telefone
5) Clicar em "Salvar aluno"</t>
  </si>
  <si>
    <t xml:space="preserve">A alteração do telefone é salva normalmente.</t>
  </si>
  <si>
    <t xml:space="preserve">O sistema bloqueia o salvamento com "E-mail obrigatório e válido." e não grava nada. Nenhum dado do aluno pode ser alterado sem que se invente um e-mail inexistente.</t>
  </si>
  <si>
    <t xml:space="preserve">Os dados que já vêm no sistema violam a regra de validação que o próprio sistema aplica. Atinge as matrículas 2026002 (Bruno Henrique Lima) e 2026004 (Diego Alves), ambas sem e-mail.</t>
  </si>
  <si>
    <t xml:space="preserve">BUG-02</t>
  </si>
  <si>
    <t xml:space="preserve">Formulário de edição continua ativo após a disciplina ser excluída</t>
  </si>
  <si>
    <t xml:space="preserve">1) Logar como Admin e ir para Disciplinas
2) Clicar em "Editar" numa disciplina
3) Sem sair da edição, clicar em "Excluir" na mesma disciplina e confirmar
4) Alterar a carga horária e clicar em "Salvar"</t>
  </si>
  <si>
    <t xml:space="preserve">Ao excluir o registro em edição, o formulário deveria ser limpo ou fechado.</t>
  </si>
  <si>
    <t xml:space="preserve">O formulário continua preenchido e com o título "Editar disciplina". Ao salvar, a aplicação lança "TypeError: Cannot set properties of undefined (setting 'nome')" e a alteração não é gravada. A exceção não aparece para o usuário: na tela não há confirmação nem mensagem de erro.</t>
  </si>
  <si>
    <t xml:space="preserve">Causa raiz: ao excluir, o sistema não limpa a variável que guarda o id do registro em edição. Na hora de salvar, a busca por esse id retorna undefined e o código tenta escrever numa referência inexistente, lançando a exceção.
Severidade Alta por ser exceção não tratada com perda silenciosa de dado: o usuário acredita ter salvo algo que nunca foi gravado. Prioridade Média porque depende de uma sequência pouco frequente (excluir o registro que está aberto em edição) e é contornável recarregando a página.</t>
  </si>
  <si>
    <t xml:space="preserve">BUG-03</t>
  </si>
  <si>
    <t xml:space="preserve">Excluir disciplina não remove o vínculo com o professor</t>
  </si>
  <si>
    <t xml:space="preserve">1) Logar como Admin e cadastrar o professor "Teste A" vinculado apenas a "Matemática"
2) Ir para Disciplinas e excluir "Matemática"
3) Confirmar a exclusão
4) Voltar para Professores e observar a linha de "Teste A"</t>
  </si>
  <si>
    <t xml:space="preserve">O sistema deveria impedir a exclusão ou avisar que existe professor vinculado, já que o RF03 exige ao menos 1 disciplina por professor.</t>
  </si>
  <si>
    <t xml:space="preserve">A exclusão acontece sem aviso. O professor passa a exibir "—" na coluna Disciplinas, ficando sem nenhuma disciplina válida. Atinge todos os professores vinculados, não só o criado para o teste: "Carlos Pereira", do cadastro inicial, passou a exibir "— Ciências".</t>
  </si>
  <si>
    <t xml:space="preserve">Quebra de integridade referencial: o vínculo continua apontando para um registro que não existe mais. O sistema já faz essa limpeza para Turmas, mas não para Professores — a inconsistência sugere esquecimento na implementação.</t>
  </si>
  <si>
    <t xml:space="preserve">Como usar esta planilha</t>
  </si>
  <si>
    <t xml:space="preserve">O resultado obtido bateu com o resultado esperado.</t>
  </si>
  <si>
    <t xml:space="preserve">O sistema violou um requisito. Deve existir um defeito registrado na aba Defeitos.</t>
  </si>
  <si>
    <t xml:space="preserve">Teste exploratório cujo comportamento não está definido em requisito. Aguarda resposta do PO — não é defeito até que a regra exista.</t>
  </si>
  <si>
    <t xml:space="preserve">A massa de teste foi corrigida nesta revisão. O caso precisa ser executado de novo para que o resultado valha.</t>
  </si>
  <si>
    <t xml:space="preserve">Caso escrito, ainda não executado.</t>
  </si>
  <si>
    <t xml:space="preserve">Bloqueado</t>
  </si>
  <si>
    <t xml:space="preserve">Não foi possível executar (ambiente fora do ar, pré-condição impossível, defeito impedindo o fluxo).</t>
  </si>
  <si>
    <t xml:space="preserve">Fluxo crítico ou regra que protege a integridade dos dados: login, permissões, cadastro, edição, exclusão, unicidade.</t>
  </si>
  <si>
    <t xml:space="preserve">Validação de formato de campo. Erra o dado, mas não derruba o fluxo nem corrompe registro.</t>
  </si>
  <si>
    <t xml:space="preserve">Exploratório de baixo impacto e lacunas de requisito sem efeito prático imediato.</t>
  </si>
  <si>
    <t xml:space="preserve">Caminho feliz: dados válidos, sistema deve aceitar.</t>
  </si>
  <si>
    <t xml:space="preserve">Quebra uma regra documentada de propósito. Exige um requisito explícito para ser violado.</t>
  </si>
  <si>
    <t xml:space="preserve">Verifica o que cada perfil pode e não pode acessar.</t>
  </si>
  <si>
    <t xml:space="preserve">Investigação além do requisito. O resultado esperado é 'não especificado' — vira pergunta ao PO, não defeito.</t>
  </si>
  <si>
    <t xml:space="preserve">Coluna Observações</t>
  </si>
  <si>
    <t xml:space="preserve">Em vermelho e itálico: o que foi corrigido nesta revisão e por quê.</t>
  </si>
  <si>
    <t xml:space="preserve">Coluna Evidência</t>
  </si>
  <si>
    <t xml:space="preserve">Cole aqui o link do print ou do vídeo da execução. Um caso 'Falhou' sem evidência é difícil de defender.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</si>
</sst>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46"/>
    <col collapsed="false" customWidth="true" hidden="false" outlineLevel="0" max="8" min="8" style="0" width="38"/>
    <col collapsed="false" customWidth="true" hidden="false" outlineLevel="0" max="9" min="9" style="0" width="52"/>
    <col collapsed="false" customWidth="true" hidden="false" outlineLevel="0" max="10" min="10" style="0" width="46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5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2.8" hidden="false" customHeight="false" outlineLevel="0" collapsed="false">
      <c r="A2" s="2" t="s">
        <v>14</v>
      </c>
      <c r="B2" s="3" t="s">
        <v>15</v>
      </c>
      <c r="C2" s="3" t="s">
        <v>16</v>
      </c>
      <c r="D2" s="3" t="s">
        <v>17</v>
      </c>
      <c r="E2" s="4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5" t="s">
        <v>24</v>
      </c>
      <c r="L2" s="6" t="s">
        <v>25</v>
      </c>
      <c r="M2" s="3"/>
      <c r="N2" s="3"/>
    </row>
    <row r="3" customFormat="false" ht="32.8" hidden="false" customHeight="false" outlineLevel="0" collapsed="false">
      <c r="A3" s="2" t="s">
        <v>26</v>
      </c>
      <c r="B3" s="3" t="s">
        <v>27</v>
      </c>
      <c r="C3" s="3" t="s">
        <v>28</v>
      </c>
      <c r="D3" s="3" t="s">
        <v>17</v>
      </c>
      <c r="E3" s="4" t="s">
        <v>18</v>
      </c>
      <c r="F3" s="3" t="s">
        <v>19</v>
      </c>
      <c r="G3" s="3" t="s">
        <v>20</v>
      </c>
      <c r="H3" s="3" t="s">
        <v>29</v>
      </c>
      <c r="I3" s="3" t="s">
        <v>30</v>
      </c>
      <c r="J3" s="3" t="s">
        <v>23</v>
      </c>
      <c r="K3" s="5" t="s">
        <v>24</v>
      </c>
      <c r="L3" s="6" t="s">
        <v>25</v>
      </c>
      <c r="M3" s="3"/>
      <c r="N3" s="3"/>
    </row>
    <row r="4" customFormat="false" ht="43.25" hidden="false" customHeight="false" outlineLevel="0" collapsed="false">
      <c r="A4" s="2" t="s">
        <v>31</v>
      </c>
      <c r="B4" s="3" t="s">
        <v>32</v>
      </c>
      <c r="C4" s="3" t="s">
        <v>28</v>
      </c>
      <c r="D4" s="3" t="s">
        <v>17</v>
      </c>
      <c r="E4" s="7" t="s">
        <v>33</v>
      </c>
      <c r="F4" s="3" t="s">
        <v>19</v>
      </c>
      <c r="G4" s="3" t="s">
        <v>34</v>
      </c>
      <c r="H4" s="3" t="s">
        <v>35</v>
      </c>
      <c r="I4" s="3" t="s">
        <v>36</v>
      </c>
      <c r="J4" s="3" t="s">
        <v>23</v>
      </c>
      <c r="K4" s="5" t="s">
        <v>24</v>
      </c>
      <c r="L4" s="6" t="s">
        <v>25</v>
      </c>
      <c r="M4" s="3"/>
      <c r="N4" s="8" t="s">
        <v>37</v>
      </c>
    </row>
    <row r="5" customFormat="false" ht="32.8" hidden="false" customHeight="false" outlineLevel="0" collapsed="false">
      <c r="A5" s="2" t="s">
        <v>38</v>
      </c>
      <c r="B5" s="3" t="s">
        <v>39</v>
      </c>
      <c r="C5" s="3" t="s">
        <v>28</v>
      </c>
      <c r="D5" s="3" t="s">
        <v>17</v>
      </c>
      <c r="E5" s="7" t="s">
        <v>33</v>
      </c>
      <c r="F5" s="3" t="s">
        <v>19</v>
      </c>
      <c r="G5" s="3" t="s">
        <v>40</v>
      </c>
      <c r="H5" s="3" t="s">
        <v>41</v>
      </c>
      <c r="I5" s="3" t="s">
        <v>42</v>
      </c>
      <c r="J5" s="3" t="s">
        <v>43</v>
      </c>
      <c r="K5" s="9" t="s">
        <v>44</v>
      </c>
      <c r="L5" s="10" t="s">
        <v>45</v>
      </c>
      <c r="M5" s="3"/>
      <c r="N5" s="8" t="s">
        <v>46</v>
      </c>
    </row>
    <row r="6" customFormat="false" ht="22.35" hidden="false" customHeight="false" outlineLevel="0" collapsed="false">
      <c r="A6" s="2" t="s">
        <v>47</v>
      </c>
      <c r="B6" s="3" t="s">
        <v>48</v>
      </c>
      <c r="C6" s="3" t="s">
        <v>28</v>
      </c>
      <c r="D6" s="3" t="s">
        <v>17</v>
      </c>
      <c r="E6" s="7" t="s">
        <v>33</v>
      </c>
      <c r="F6" s="3" t="s">
        <v>19</v>
      </c>
      <c r="G6" s="3" t="s">
        <v>49</v>
      </c>
      <c r="H6" s="3" t="s">
        <v>50</v>
      </c>
      <c r="I6" s="3" t="s">
        <v>51</v>
      </c>
      <c r="J6" s="3" t="s">
        <v>43</v>
      </c>
      <c r="K6" s="9" t="s">
        <v>44</v>
      </c>
      <c r="L6" s="10" t="s">
        <v>45</v>
      </c>
      <c r="M6" s="3"/>
      <c r="N6" s="8" t="s">
        <v>52</v>
      </c>
    </row>
    <row r="7" customFormat="false" ht="43.25" hidden="false" customHeight="false" outlineLevel="0" collapsed="false">
      <c r="A7" s="2" t="s">
        <v>53</v>
      </c>
      <c r="B7" s="3" t="s">
        <v>54</v>
      </c>
      <c r="C7" s="3" t="s">
        <v>55</v>
      </c>
      <c r="D7" s="3" t="s">
        <v>17</v>
      </c>
      <c r="E7" s="4" t="s">
        <v>18</v>
      </c>
      <c r="F7" s="3" t="s">
        <v>19</v>
      </c>
      <c r="G7" s="3" t="s">
        <v>56</v>
      </c>
      <c r="H7" s="3" t="s">
        <v>21</v>
      </c>
      <c r="I7" s="3" t="s">
        <v>57</v>
      </c>
      <c r="J7" s="3" t="s">
        <v>23</v>
      </c>
      <c r="K7" s="5" t="s">
        <v>24</v>
      </c>
      <c r="L7" s="6" t="s">
        <v>58</v>
      </c>
      <c r="M7" s="3"/>
      <c r="N7" s="3" t="s">
        <v>59</v>
      </c>
    </row>
    <row r="8" customFormat="false" ht="43.25" hidden="false" customHeight="false" outlineLevel="0" collapsed="false">
      <c r="A8" s="2" t="s">
        <v>60</v>
      </c>
      <c r="B8" s="3" t="s">
        <v>61</v>
      </c>
      <c r="C8" s="3" t="s">
        <v>55</v>
      </c>
      <c r="D8" s="3" t="s">
        <v>17</v>
      </c>
      <c r="E8" s="4" t="s">
        <v>18</v>
      </c>
      <c r="F8" s="3" t="s">
        <v>19</v>
      </c>
      <c r="G8" s="3" t="s">
        <v>56</v>
      </c>
      <c r="H8" s="3" t="s">
        <v>62</v>
      </c>
      <c r="I8" s="3" t="s">
        <v>63</v>
      </c>
      <c r="J8" s="3" t="s">
        <v>23</v>
      </c>
      <c r="K8" s="5" t="s">
        <v>24</v>
      </c>
      <c r="L8" s="6" t="s">
        <v>58</v>
      </c>
      <c r="M8" s="3"/>
      <c r="N8" s="3" t="s">
        <v>64</v>
      </c>
    </row>
    <row r="9" customFormat="false" ht="43.25" hidden="false" customHeight="false" outlineLevel="0" collapsed="false">
      <c r="A9" s="2" t="s">
        <v>65</v>
      </c>
      <c r="B9" s="3" t="s">
        <v>66</v>
      </c>
      <c r="C9" s="3" t="s">
        <v>55</v>
      </c>
      <c r="D9" s="3" t="s">
        <v>17</v>
      </c>
      <c r="E9" s="4" t="s">
        <v>18</v>
      </c>
      <c r="F9" s="3" t="s">
        <v>19</v>
      </c>
      <c r="G9" s="3" t="s">
        <v>56</v>
      </c>
      <c r="H9" s="3" t="s">
        <v>67</v>
      </c>
      <c r="I9" s="3" t="s">
        <v>68</v>
      </c>
      <c r="J9" s="3" t="s">
        <v>23</v>
      </c>
      <c r="K9" s="5" t="s">
        <v>24</v>
      </c>
      <c r="L9" s="6" t="s">
        <v>58</v>
      </c>
      <c r="M9" s="3"/>
      <c r="N9" s="8" t="s">
        <v>69</v>
      </c>
    </row>
    <row r="10" customFormat="false" ht="95.5" hidden="false" customHeight="false" outlineLevel="0" collapsed="false">
      <c r="A10" s="2" t="s">
        <v>70</v>
      </c>
      <c r="B10" s="3" t="s">
        <v>71</v>
      </c>
      <c r="C10" s="3" t="s">
        <v>16</v>
      </c>
      <c r="D10" s="3" t="s">
        <v>72</v>
      </c>
      <c r="E10" s="4" t="s">
        <v>18</v>
      </c>
      <c r="F10" s="3" t="s">
        <v>73</v>
      </c>
      <c r="G10" s="3" t="s">
        <v>74</v>
      </c>
      <c r="H10" s="3" t="s">
        <v>75</v>
      </c>
      <c r="I10" s="3" t="s">
        <v>76</v>
      </c>
      <c r="J10" s="3" t="s">
        <v>23</v>
      </c>
      <c r="K10" s="5" t="s">
        <v>24</v>
      </c>
      <c r="L10" s="6" t="s">
        <v>77</v>
      </c>
      <c r="M10" s="3"/>
      <c r="N10" s="3"/>
    </row>
    <row r="11" customFormat="false" ht="95.5" hidden="false" customHeight="false" outlineLevel="0" collapsed="false">
      <c r="A11" s="2" t="s">
        <v>78</v>
      </c>
      <c r="B11" s="3" t="s">
        <v>79</v>
      </c>
      <c r="C11" s="3" t="s">
        <v>28</v>
      </c>
      <c r="D11" s="3" t="s">
        <v>72</v>
      </c>
      <c r="E11" s="4" t="s">
        <v>18</v>
      </c>
      <c r="F11" s="3" t="s">
        <v>80</v>
      </c>
      <c r="G11" s="3" t="s">
        <v>74</v>
      </c>
      <c r="H11" s="3" t="s">
        <v>81</v>
      </c>
      <c r="I11" s="3" t="s">
        <v>82</v>
      </c>
      <c r="J11" s="3" t="s">
        <v>23</v>
      </c>
      <c r="K11" s="5" t="s">
        <v>24</v>
      </c>
      <c r="L11" s="6" t="s">
        <v>77</v>
      </c>
      <c r="M11" s="3"/>
      <c r="N11" s="8" t="s">
        <v>83</v>
      </c>
    </row>
    <row r="12" customFormat="false" ht="95.5" hidden="false" customHeight="false" outlineLevel="0" collapsed="false">
      <c r="A12" s="2" t="s">
        <v>84</v>
      </c>
      <c r="B12" s="3" t="s">
        <v>85</v>
      </c>
      <c r="C12" s="3" t="s">
        <v>86</v>
      </c>
      <c r="D12" s="3" t="s">
        <v>72</v>
      </c>
      <c r="E12" s="11" t="s">
        <v>87</v>
      </c>
      <c r="F12" s="3" t="s">
        <v>73</v>
      </c>
      <c r="G12" s="3" t="s">
        <v>74</v>
      </c>
      <c r="H12" s="3" t="s">
        <v>88</v>
      </c>
      <c r="I12" s="3" t="s">
        <v>89</v>
      </c>
      <c r="J12" s="3" t="s">
        <v>90</v>
      </c>
      <c r="K12" s="12" t="s">
        <v>91</v>
      </c>
      <c r="L12" s="6" t="s">
        <v>77</v>
      </c>
      <c r="M12" s="3"/>
      <c r="N12" s="3" t="s">
        <v>92</v>
      </c>
    </row>
    <row r="13" customFormat="false" ht="95.5" hidden="false" customHeight="false" outlineLevel="0" collapsed="false">
      <c r="A13" s="2" t="s">
        <v>93</v>
      </c>
      <c r="B13" s="3" t="s">
        <v>94</v>
      </c>
      <c r="C13" s="3" t="s">
        <v>28</v>
      </c>
      <c r="D13" s="3" t="s">
        <v>72</v>
      </c>
      <c r="E13" s="7" t="s">
        <v>33</v>
      </c>
      <c r="F13" s="3" t="s">
        <v>73</v>
      </c>
      <c r="G13" s="3" t="s">
        <v>74</v>
      </c>
      <c r="H13" s="3" t="s">
        <v>95</v>
      </c>
      <c r="I13" s="3" t="s">
        <v>96</v>
      </c>
      <c r="J13" s="3" t="s">
        <v>23</v>
      </c>
      <c r="K13" s="5" t="s">
        <v>24</v>
      </c>
      <c r="L13" s="6" t="s">
        <v>77</v>
      </c>
      <c r="M13" s="3"/>
      <c r="N13" s="3"/>
    </row>
    <row r="14" customFormat="false" ht="95.5" hidden="false" customHeight="false" outlineLevel="0" collapsed="false">
      <c r="A14" s="2" t="s">
        <v>97</v>
      </c>
      <c r="B14" s="3" t="s">
        <v>98</v>
      </c>
      <c r="C14" s="3" t="s">
        <v>28</v>
      </c>
      <c r="D14" s="3" t="s">
        <v>72</v>
      </c>
      <c r="E14" s="7" t="s">
        <v>33</v>
      </c>
      <c r="F14" s="3" t="s">
        <v>73</v>
      </c>
      <c r="G14" s="3" t="s">
        <v>74</v>
      </c>
      <c r="H14" s="3" t="s">
        <v>99</v>
      </c>
      <c r="I14" s="3" t="s">
        <v>82</v>
      </c>
      <c r="J14" s="3" t="s">
        <v>23</v>
      </c>
      <c r="K14" s="5" t="s">
        <v>24</v>
      </c>
      <c r="L14" s="6" t="s">
        <v>77</v>
      </c>
      <c r="M14" s="3"/>
      <c r="N14" s="3"/>
    </row>
    <row r="15" customFormat="false" ht="95.5" hidden="false" customHeight="false" outlineLevel="0" collapsed="false">
      <c r="A15" s="2" t="s">
        <v>100</v>
      </c>
      <c r="B15" s="3" t="s">
        <v>101</v>
      </c>
      <c r="C15" s="3" t="s">
        <v>28</v>
      </c>
      <c r="D15" s="3" t="s">
        <v>72</v>
      </c>
      <c r="E15" s="7" t="s">
        <v>33</v>
      </c>
      <c r="F15" s="3" t="s">
        <v>73</v>
      </c>
      <c r="G15" s="3" t="s">
        <v>74</v>
      </c>
      <c r="H15" s="3" t="s">
        <v>102</v>
      </c>
      <c r="I15" s="3" t="s">
        <v>103</v>
      </c>
      <c r="J15" s="3" t="s">
        <v>23</v>
      </c>
      <c r="K15" s="5" t="s">
        <v>24</v>
      </c>
      <c r="L15" s="6" t="s">
        <v>77</v>
      </c>
      <c r="M15" s="3"/>
      <c r="N15" s="3"/>
    </row>
    <row r="16" customFormat="false" ht="95.5" hidden="false" customHeight="false" outlineLevel="0" collapsed="false">
      <c r="A16" s="2" t="s">
        <v>104</v>
      </c>
      <c r="B16" s="3" t="s">
        <v>105</v>
      </c>
      <c r="C16" s="3" t="s">
        <v>28</v>
      </c>
      <c r="D16" s="3" t="s">
        <v>72</v>
      </c>
      <c r="E16" s="7" t="s">
        <v>33</v>
      </c>
      <c r="F16" s="3" t="s">
        <v>73</v>
      </c>
      <c r="G16" s="3" t="s">
        <v>74</v>
      </c>
      <c r="H16" s="3" t="s">
        <v>106</v>
      </c>
      <c r="I16" s="3" t="s">
        <v>107</v>
      </c>
      <c r="J16" s="3" t="s">
        <v>43</v>
      </c>
      <c r="K16" s="13" t="s">
        <v>108</v>
      </c>
      <c r="L16" s="6" t="s">
        <v>77</v>
      </c>
      <c r="M16" s="3"/>
      <c r="N16" s="8" t="s">
        <v>109</v>
      </c>
    </row>
    <row r="17" customFormat="false" ht="95.5" hidden="false" customHeight="false" outlineLevel="0" collapsed="false">
      <c r="A17" s="2" t="s">
        <v>110</v>
      </c>
      <c r="B17" s="3" t="s">
        <v>111</v>
      </c>
      <c r="C17" s="3" t="s">
        <v>28</v>
      </c>
      <c r="D17" s="3" t="s">
        <v>72</v>
      </c>
      <c r="E17" s="7" t="s">
        <v>33</v>
      </c>
      <c r="F17" s="3" t="s">
        <v>73</v>
      </c>
      <c r="G17" s="3" t="s">
        <v>74</v>
      </c>
      <c r="H17" s="3" t="s">
        <v>112</v>
      </c>
      <c r="I17" s="3" t="s">
        <v>113</v>
      </c>
      <c r="J17" s="3" t="s">
        <v>23</v>
      </c>
      <c r="K17" s="5" t="s">
        <v>24</v>
      </c>
      <c r="L17" s="6" t="s">
        <v>77</v>
      </c>
      <c r="M17" s="3"/>
      <c r="N17" s="3"/>
    </row>
    <row r="18" customFormat="false" ht="32.8" hidden="false" customHeight="false" outlineLevel="0" collapsed="false">
      <c r="A18" s="2" t="s">
        <v>114</v>
      </c>
      <c r="B18" s="3" t="s">
        <v>115</v>
      </c>
      <c r="C18" s="3" t="s">
        <v>28</v>
      </c>
      <c r="D18" s="3" t="s">
        <v>72</v>
      </c>
      <c r="E18" s="7" t="s">
        <v>33</v>
      </c>
      <c r="F18" s="3" t="s">
        <v>73</v>
      </c>
      <c r="G18" s="3" t="s">
        <v>116</v>
      </c>
      <c r="H18" s="3" t="s">
        <v>117</v>
      </c>
      <c r="I18" s="3" t="s">
        <v>118</v>
      </c>
      <c r="J18" s="3" t="s">
        <v>23</v>
      </c>
      <c r="K18" s="5" t="s">
        <v>24</v>
      </c>
      <c r="L18" s="6" t="s">
        <v>77</v>
      </c>
      <c r="M18" s="3"/>
      <c r="N18" s="8" t="s">
        <v>119</v>
      </c>
    </row>
    <row r="19" customFormat="false" ht="95.5" hidden="false" customHeight="false" outlineLevel="0" collapsed="false">
      <c r="A19" s="2" t="s">
        <v>120</v>
      </c>
      <c r="B19" s="3" t="s">
        <v>121</v>
      </c>
      <c r="C19" s="3" t="s">
        <v>28</v>
      </c>
      <c r="D19" s="3" t="s">
        <v>72</v>
      </c>
      <c r="E19" s="7" t="s">
        <v>33</v>
      </c>
      <c r="F19" s="3" t="s">
        <v>73</v>
      </c>
      <c r="G19" s="3" t="s">
        <v>74</v>
      </c>
      <c r="H19" s="3" t="s">
        <v>122</v>
      </c>
      <c r="I19" s="3" t="s">
        <v>123</v>
      </c>
      <c r="J19" s="3" t="s">
        <v>43</v>
      </c>
      <c r="K19" s="13" t="s">
        <v>108</v>
      </c>
      <c r="L19" s="6" t="s">
        <v>77</v>
      </c>
      <c r="M19" s="3"/>
      <c r="N19" s="8" t="s">
        <v>124</v>
      </c>
    </row>
    <row r="20" customFormat="false" ht="95.5" hidden="false" customHeight="false" outlineLevel="0" collapsed="false">
      <c r="A20" s="2" t="s">
        <v>125</v>
      </c>
      <c r="B20" s="3" t="s">
        <v>126</v>
      </c>
      <c r="C20" s="3" t="s">
        <v>28</v>
      </c>
      <c r="D20" s="3" t="s">
        <v>72</v>
      </c>
      <c r="E20" s="7" t="s">
        <v>33</v>
      </c>
      <c r="F20" s="3" t="s">
        <v>73</v>
      </c>
      <c r="G20" s="3" t="s">
        <v>74</v>
      </c>
      <c r="H20" s="3" t="s">
        <v>127</v>
      </c>
      <c r="I20" s="3" t="s">
        <v>128</v>
      </c>
      <c r="J20" s="3" t="s">
        <v>43</v>
      </c>
      <c r="K20" s="13" t="s">
        <v>108</v>
      </c>
      <c r="L20" s="6" t="s">
        <v>77</v>
      </c>
      <c r="M20" s="3"/>
      <c r="N20" s="8" t="s">
        <v>129</v>
      </c>
    </row>
    <row r="21" customFormat="false" ht="43.25" hidden="false" customHeight="false" outlineLevel="0" collapsed="false">
      <c r="A21" s="2" t="s">
        <v>130</v>
      </c>
      <c r="B21" s="3" t="s">
        <v>131</v>
      </c>
      <c r="C21" s="3" t="s">
        <v>16</v>
      </c>
      <c r="D21" s="3" t="s">
        <v>72</v>
      </c>
      <c r="E21" s="4" t="s">
        <v>18</v>
      </c>
      <c r="F21" s="3" t="s">
        <v>132</v>
      </c>
      <c r="G21" s="3" t="s">
        <v>133</v>
      </c>
      <c r="H21" s="3" t="s">
        <v>134</v>
      </c>
      <c r="I21" s="3" t="s">
        <v>135</v>
      </c>
      <c r="J21" s="3" t="s">
        <v>23</v>
      </c>
      <c r="K21" s="5" t="s">
        <v>24</v>
      </c>
      <c r="L21" s="6" t="s">
        <v>77</v>
      </c>
      <c r="M21" s="3"/>
      <c r="N21" s="3"/>
    </row>
    <row r="22" customFormat="false" ht="32.8" hidden="false" customHeight="false" outlineLevel="0" collapsed="false">
      <c r="A22" s="2" t="s">
        <v>136</v>
      </c>
      <c r="B22" s="3" t="s">
        <v>137</v>
      </c>
      <c r="C22" s="3" t="s">
        <v>16</v>
      </c>
      <c r="D22" s="3" t="s">
        <v>72</v>
      </c>
      <c r="E22" s="4" t="s">
        <v>18</v>
      </c>
      <c r="F22" s="3" t="s">
        <v>138</v>
      </c>
      <c r="G22" s="3" t="s">
        <v>139</v>
      </c>
      <c r="H22" s="3" t="s">
        <v>140</v>
      </c>
      <c r="I22" s="3" t="s">
        <v>141</v>
      </c>
      <c r="J22" s="3" t="s">
        <v>23</v>
      </c>
      <c r="K22" s="5" t="s">
        <v>24</v>
      </c>
      <c r="L22" s="6" t="s">
        <v>77</v>
      </c>
      <c r="M22" s="3"/>
      <c r="N22" s="3"/>
    </row>
    <row r="23" customFormat="false" ht="43.25" hidden="false" customHeight="false" outlineLevel="0" collapsed="false">
      <c r="A23" s="2" t="s">
        <v>142</v>
      </c>
      <c r="B23" s="3" t="s">
        <v>143</v>
      </c>
      <c r="C23" s="3" t="s">
        <v>28</v>
      </c>
      <c r="D23" s="3" t="s">
        <v>72</v>
      </c>
      <c r="E23" s="4" t="s">
        <v>18</v>
      </c>
      <c r="F23" s="3" t="s">
        <v>144</v>
      </c>
      <c r="G23" s="3" t="s">
        <v>145</v>
      </c>
      <c r="H23" s="3" t="s">
        <v>146</v>
      </c>
      <c r="I23" s="3" t="s">
        <v>147</v>
      </c>
      <c r="J23" s="3" t="s">
        <v>148</v>
      </c>
      <c r="K23" s="14" t="s">
        <v>149</v>
      </c>
      <c r="L23" s="10" t="s">
        <v>45</v>
      </c>
      <c r="M23" s="3"/>
      <c r="N23" s="8" t="s">
        <v>150</v>
      </c>
    </row>
    <row r="24" customFormat="false" ht="43.25" hidden="false" customHeight="false" outlineLevel="0" collapsed="false">
      <c r="A24" s="2" t="s">
        <v>151</v>
      </c>
      <c r="B24" s="3" t="s">
        <v>152</v>
      </c>
      <c r="C24" s="3" t="s">
        <v>16</v>
      </c>
      <c r="D24" s="3" t="s">
        <v>153</v>
      </c>
      <c r="E24" s="4" t="s">
        <v>18</v>
      </c>
      <c r="F24" s="3" t="s">
        <v>154</v>
      </c>
      <c r="G24" s="3" t="s">
        <v>155</v>
      </c>
      <c r="H24" s="3" t="s">
        <v>156</v>
      </c>
      <c r="I24" s="3" t="s">
        <v>157</v>
      </c>
      <c r="J24" s="3" t="s">
        <v>23</v>
      </c>
      <c r="K24" s="5" t="s">
        <v>24</v>
      </c>
      <c r="L24" s="6" t="s">
        <v>158</v>
      </c>
      <c r="M24" s="3"/>
      <c r="N24" s="8" t="s">
        <v>159</v>
      </c>
    </row>
    <row r="25" customFormat="false" ht="32.8" hidden="false" customHeight="false" outlineLevel="0" collapsed="false">
      <c r="A25" s="2" t="s">
        <v>160</v>
      </c>
      <c r="B25" s="3" t="s">
        <v>161</v>
      </c>
      <c r="C25" s="3" t="s">
        <v>28</v>
      </c>
      <c r="D25" s="3" t="s">
        <v>153</v>
      </c>
      <c r="E25" s="7" t="s">
        <v>33</v>
      </c>
      <c r="F25" s="3" t="s">
        <v>154</v>
      </c>
      <c r="G25" s="3" t="s">
        <v>162</v>
      </c>
      <c r="H25" s="3" t="s">
        <v>163</v>
      </c>
      <c r="I25" s="3" t="s">
        <v>164</v>
      </c>
      <c r="J25" s="3" t="s">
        <v>23</v>
      </c>
      <c r="K25" s="5" t="s">
        <v>24</v>
      </c>
      <c r="L25" s="6" t="s">
        <v>158</v>
      </c>
      <c r="M25" s="3"/>
      <c r="N25" s="3"/>
    </row>
    <row r="26" customFormat="false" ht="43.25" hidden="false" customHeight="false" outlineLevel="0" collapsed="false">
      <c r="A26" s="2" t="s">
        <v>165</v>
      </c>
      <c r="B26" s="3" t="s">
        <v>166</v>
      </c>
      <c r="C26" s="3" t="s">
        <v>16</v>
      </c>
      <c r="D26" s="3" t="s">
        <v>153</v>
      </c>
      <c r="E26" s="4" t="s">
        <v>18</v>
      </c>
      <c r="F26" s="3" t="s">
        <v>167</v>
      </c>
      <c r="G26" s="3" t="s">
        <v>168</v>
      </c>
      <c r="H26" s="3" t="s">
        <v>169</v>
      </c>
      <c r="I26" s="3" t="s">
        <v>170</v>
      </c>
      <c r="J26" s="3" t="s">
        <v>23</v>
      </c>
      <c r="K26" s="5" t="s">
        <v>24</v>
      </c>
      <c r="L26" s="6" t="s">
        <v>158</v>
      </c>
      <c r="M26" s="3"/>
      <c r="N26" s="8" t="s">
        <v>171</v>
      </c>
    </row>
    <row r="27" customFormat="false" ht="32.8" hidden="false" customHeight="false" outlineLevel="0" collapsed="false">
      <c r="A27" s="2" t="s">
        <v>172</v>
      </c>
      <c r="B27" s="3" t="s">
        <v>173</v>
      </c>
      <c r="C27" s="3" t="s">
        <v>16</v>
      </c>
      <c r="D27" s="3" t="s">
        <v>153</v>
      </c>
      <c r="E27" s="4" t="s">
        <v>18</v>
      </c>
      <c r="F27" s="3" t="s">
        <v>174</v>
      </c>
      <c r="G27" s="3" t="s">
        <v>175</v>
      </c>
      <c r="H27" s="3" t="s">
        <v>176</v>
      </c>
      <c r="I27" s="3" t="s">
        <v>177</v>
      </c>
      <c r="J27" s="3" t="s">
        <v>23</v>
      </c>
      <c r="K27" s="5" t="s">
        <v>24</v>
      </c>
      <c r="L27" s="6" t="s">
        <v>158</v>
      </c>
      <c r="M27" s="3"/>
      <c r="N27" s="3"/>
    </row>
    <row r="28" customFormat="false" ht="32.8" hidden="false" customHeight="false" outlineLevel="0" collapsed="false">
      <c r="A28" s="2" t="s">
        <v>178</v>
      </c>
      <c r="B28" s="3" t="s">
        <v>179</v>
      </c>
      <c r="C28" s="3" t="s">
        <v>28</v>
      </c>
      <c r="D28" s="3" t="s">
        <v>153</v>
      </c>
      <c r="E28" s="7" t="s">
        <v>33</v>
      </c>
      <c r="F28" s="3" t="s">
        <v>154</v>
      </c>
      <c r="G28" s="3" t="s">
        <v>180</v>
      </c>
      <c r="H28" s="3" t="s">
        <v>181</v>
      </c>
      <c r="I28" s="3" t="s">
        <v>182</v>
      </c>
      <c r="J28" s="3" t="s">
        <v>23</v>
      </c>
      <c r="K28" s="5" t="s">
        <v>24</v>
      </c>
      <c r="L28" s="6" t="s">
        <v>158</v>
      </c>
      <c r="M28" s="3"/>
      <c r="N28" s="3"/>
    </row>
    <row r="29" customFormat="false" ht="43.25" hidden="false" customHeight="false" outlineLevel="0" collapsed="false">
      <c r="A29" s="2" t="s">
        <v>183</v>
      </c>
      <c r="B29" s="3" t="s">
        <v>184</v>
      </c>
      <c r="C29" s="3" t="s">
        <v>86</v>
      </c>
      <c r="D29" s="3" t="s">
        <v>153</v>
      </c>
      <c r="E29" s="11" t="s">
        <v>87</v>
      </c>
      <c r="F29" s="3" t="s">
        <v>154</v>
      </c>
      <c r="G29" s="3" t="s">
        <v>155</v>
      </c>
      <c r="H29" s="3" t="s">
        <v>185</v>
      </c>
      <c r="I29" s="3" t="s">
        <v>186</v>
      </c>
      <c r="J29" s="3" t="s">
        <v>187</v>
      </c>
      <c r="K29" s="12" t="s">
        <v>91</v>
      </c>
      <c r="L29" s="6" t="s">
        <v>158</v>
      </c>
      <c r="M29" s="3"/>
      <c r="N29" s="8" t="s">
        <v>188</v>
      </c>
    </row>
    <row r="30" customFormat="false" ht="74.6" hidden="false" customHeight="false" outlineLevel="0" collapsed="false">
      <c r="A30" s="2" t="s">
        <v>189</v>
      </c>
      <c r="B30" s="3" t="s">
        <v>190</v>
      </c>
      <c r="C30" s="3" t="s">
        <v>28</v>
      </c>
      <c r="D30" s="3" t="s">
        <v>153</v>
      </c>
      <c r="E30" s="7" t="s">
        <v>33</v>
      </c>
      <c r="F30" s="3" t="s">
        <v>191</v>
      </c>
      <c r="G30" s="3" t="s">
        <v>192</v>
      </c>
      <c r="H30" s="3" t="s">
        <v>193</v>
      </c>
      <c r="I30" s="3" t="s">
        <v>194</v>
      </c>
      <c r="J30" s="3" t="s">
        <v>195</v>
      </c>
      <c r="K30" s="14" t="s">
        <v>149</v>
      </c>
      <c r="L30" s="10" t="s">
        <v>45</v>
      </c>
      <c r="M30" s="3"/>
      <c r="N30" s="3" t="s">
        <v>196</v>
      </c>
    </row>
    <row r="31" customFormat="false" ht="32.8" hidden="false" customHeight="false" outlineLevel="0" collapsed="false">
      <c r="A31" s="2" t="s">
        <v>197</v>
      </c>
      <c r="B31" s="3" t="s">
        <v>198</v>
      </c>
      <c r="C31" s="3" t="s">
        <v>28</v>
      </c>
      <c r="D31" s="3" t="s">
        <v>153</v>
      </c>
      <c r="E31" s="7" t="s">
        <v>33</v>
      </c>
      <c r="F31" s="3" t="s">
        <v>154</v>
      </c>
      <c r="G31" s="3" t="s">
        <v>155</v>
      </c>
      <c r="H31" s="3" t="s">
        <v>199</v>
      </c>
      <c r="I31" s="3" t="s">
        <v>182</v>
      </c>
      <c r="J31" s="3" t="s">
        <v>23</v>
      </c>
      <c r="K31" s="5" t="s">
        <v>24</v>
      </c>
      <c r="L31" s="10" t="s">
        <v>45</v>
      </c>
      <c r="M31" s="3"/>
      <c r="N31" s="8" t="s">
        <v>200</v>
      </c>
    </row>
    <row r="32" customFormat="false" ht="32.8" hidden="false" customHeight="false" outlineLevel="0" collapsed="false">
      <c r="A32" s="2" t="s">
        <v>201</v>
      </c>
      <c r="B32" s="3" t="s">
        <v>202</v>
      </c>
      <c r="C32" s="3" t="s">
        <v>28</v>
      </c>
      <c r="D32" s="3" t="s">
        <v>153</v>
      </c>
      <c r="E32" s="7" t="s">
        <v>33</v>
      </c>
      <c r="F32" s="3" t="s">
        <v>154</v>
      </c>
      <c r="G32" s="3" t="s">
        <v>155</v>
      </c>
      <c r="H32" s="3" t="s">
        <v>203</v>
      </c>
      <c r="I32" s="3" t="s">
        <v>182</v>
      </c>
      <c r="J32" s="3" t="s">
        <v>23</v>
      </c>
      <c r="K32" s="5" t="s">
        <v>24</v>
      </c>
      <c r="L32" s="10" t="s">
        <v>45</v>
      </c>
      <c r="M32" s="3"/>
      <c r="N32" s="8" t="s">
        <v>204</v>
      </c>
    </row>
    <row r="33" customFormat="false" ht="32.8" hidden="false" customHeight="false" outlineLevel="0" collapsed="false">
      <c r="A33" s="2" t="s">
        <v>205</v>
      </c>
      <c r="B33" s="3" t="s">
        <v>206</v>
      </c>
      <c r="C33" s="3" t="s">
        <v>28</v>
      </c>
      <c r="D33" s="3" t="s">
        <v>153</v>
      </c>
      <c r="E33" s="7" t="s">
        <v>33</v>
      </c>
      <c r="F33" s="3" t="s">
        <v>154</v>
      </c>
      <c r="G33" s="3" t="s">
        <v>155</v>
      </c>
      <c r="H33" s="3" t="s">
        <v>207</v>
      </c>
      <c r="I33" s="3" t="s">
        <v>182</v>
      </c>
      <c r="J33" s="3" t="s">
        <v>23</v>
      </c>
      <c r="K33" s="5" t="s">
        <v>24</v>
      </c>
      <c r="L33" s="10" t="s">
        <v>45</v>
      </c>
      <c r="M33" s="3"/>
      <c r="N33" s="8" t="s">
        <v>204</v>
      </c>
    </row>
    <row r="34" customFormat="false" ht="43.25" hidden="false" customHeight="false" outlineLevel="0" collapsed="false">
      <c r="A34" s="2" t="s">
        <v>208</v>
      </c>
      <c r="B34" s="3" t="s">
        <v>209</v>
      </c>
      <c r="C34" s="3" t="s">
        <v>86</v>
      </c>
      <c r="D34" s="3" t="s">
        <v>153</v>
      </c>
      <c r="E34" s="11" t="s">
        <v>87</v>
      </c>
      <c r="F34" s="3" t="s">
        <v>154</v>
      </c>
      <c r="G34" s="3" t="s">
        <v>155</v>
      </c>
      <c r="H34" s="3" t="s">
        <v>210</v>
      </c>
      <c r="I34" s="3" t="s">
        <v>211</v>
      </c>
      <c r="J34" s="3" t="s">
        <v>212</v>
      </c>
      <c r="K34" s="12" t="s">
        <v>91</v>
      </c>
      <c r="L34" s="10" t="s">
        <v>45</v>
      </c>
      <c r="M34" s="3"/>
      <c r="N34" s="8" t="s">
        <v>213</v>
      </c>
    </row>
    <row r="35" customFormat="false" ht="22.35" hidden="false" customHeight="false" outlineLevel="0" collapsed="false">
      <c r="A35" s="2" t="s">
        <v>214</v>
      </c>
      <c r="B35" s="3" t="s">
        <v>215</v>
      </c>
      <c r="C35" s="3" t="s">
        <v>86</v>
      </c>
      <c r="D35" s="3" t="s">
        <v>153</v>
      </c>
      <c r="E35" s="11" t="s">
        <v>87</v>
      </c>
      <c r="F35" s="3" t="s">
        <v>154</v>
      </c>
      <c r="G35" s="3" t="s">
        <v>155</v>
      </c>
      <c r="H35" s="3" t="s">
        <v>216</v>
      </c>
      <c r="I35" s="3" t="s">
        <v>217</v>
      </c>
      <c r="J35" s="3" t="s">
        <v>187</v>
      </c>
      <c r="K35" s="12" t="s">
        <v>91</v>
      </c>
      <c r="L35" s="10" t="s">
        <v>45</v>
      </c>
      <c r="M35" s="3"/>
      <c r="N35" s="3" t="s">
        <v>218</v>
      </c>
    </row>
    <row r="36" customFormat="false" ht="64.15" hidden="false" customHeight="false" outlineLevel="0" collapsed="false">
      <c r="A36" s="2" t="s">
        <v>219</v>
      </c>
      <c r="B36" s="3" t="s">
        <v>220</v>
      </c>
      <c r="C36" s="3" t="s">
        <v>28</v>
      </c>
      <c r="D36" s="3" t="s">
        <v>153</v>
      </c>
      <c r="E36" s="4" t="s">
        <v>18</v>
      </c>
      <c r="F36" s="3" t="s">
        <v>221</v>
      </c>
      <c r="G36" s="3" t="s">
        <v>222</v>
      </c>
      <c r="H36" s="3" t="s">
        <v>223</v>
      </c>
      <c r="I36" s="3" t="s">
        <v>224</v>
      </c>
      <c r="J36" s="3" t="s">
        <v>225</v>
      </c>
      <c r="K36" s="14" t="s">
        <v>149</v>
      </c>
      <c r="L36" s="10" t="s">
        <v>45</v>
      </c>
      <c r="M36" s="3"/>
      <c r="N36" s="3" t="s">
        <v>226</v>
      </c>
    </row>
    <row r="37" customFormat="false" ht="53.7" hidden="false" customHeight="false" outlineLevel="0" collapsed="false">
      <c r="A37" s="2" t="s">
        <v>227</v>
      </c>
      <c r="B37" s="3" t="s">
        <v>228</v>
      </c>
      <c r="C37" s="3" t="s">
        <v>16</v>
      </c>
      <c r="D37" s="3" t="s">
        <v>153</v>
      </c>
      <c r="E37" s="4" t="s">
        <v>18</v>
      </c>
      <c r="F37" s="3" t="s">
        <v>229</v>
      </c>
      <c r="G37" s="3" t="s">
        <v>230</v>
      </c>
      <c r="H37" s="3" t="s">
        <v>231</v>
      </c>
      <c r="I37" s="3" t="s">
        <v>232</v>
      </c>
      <c r="J37" s="3" t="s">
        <v>23</v>
      </c>
      <c r="K37" s="5" t="s">
        <v>24</v>
      </c>
      <c r="L37" s="10" t="s">
        <v>45</v>
      </c>
      <c r="M37" s="3"/>
      <c r="N37" s="8" t="s">
        <v>233</v>
      </c>
    </row>
    <row r="38" customFormat="false" ht="43.25" hidden="false" customHeight="false" outlineLevel="0" collapsed="false">
      <c r="A38" s="2" t="s">
        <v>234</v>
      </c>
      <c r="B38" s="3" t="s">
        <v>235</v>
      </c>
      <c r="C38" s="3" t="s">
        <v>28</v>
      </c>
      <c r="D38" s="3" t="s">
        <v>153</v>
      </c>
      <c r="E38" s="7" t="s">
        <v>33</v>
      </c>
      <c r="F38" s="3" t="s">
        <v>229</v>
      </c>
      <c r="G38" s="3" t="s">
        <v>236</v>
      </c>
      <c r="H38" s="3" t="s">
        <v>237</v>
      </c>
      <c r="I38" s="3" t="s">
        <v>238</v>
      </c>
      <c r="J38" s="3" t="s">
        <v>23</v>
      </c>
      <c r="K38" s="5" t="s">
        <v>24</v>
      </c>
      <c r="L38" s="10" t="s">
        <v>45</v>
      </c>
      <c r="M38" s="3"/>
      <c r="N38" s="8" t="s">
        <v>239</v>
      </c>
    </row>
    <row r="39" customFormat="false" ht="43.25" hidden="false" customHeight="false" outlineLevel="0" collapsed="false">
      <c r="A39" s="2" t="s">
        <v>240</v>
      </c>
      <c r="B39" s="3" t="s">
        <v>241</v>
      </c>
      <c r="C39" s="3" t="s">
        <v>28</v>
      </c>
      <c r="D39" s="3" t="s">
        <v>153</v>
      </c>
      <c r="E39" s="7" t="s">
        <v>33</v>
      </c>
      <c r="F39" s="3" t="s">
        <v>229</v>
      </c>
      <c r="G39" s="3" t="s">
        <v>236</v>
      </c>
      <c r="H39" s="3" t="s">
        <v>242</v>
      </c>
      <c r="I39" s="3" t="s">
        <v>243</v>
      </c>
      <c r="J39" s="3" t="s">
        <v>23</v>
      </c>
      <c r="K39" s="5" t="s">
        <v>24</v>
      </c>
      <c r="L39" s="10" t="s">
        <v>45</v>
      </c>
      <c r="M39" s="3"/>
      <c r="N39" s="8" t="s">
        <v>244</v>
      </c>
    </row>
    <row r="40" customFormat="false" ht="43.25" hidden="false" customHeight="false" outlineLevel="0" collapsed="false">
      <c r="A40" s="2" t="s">
        <v>245</v>
      </c>
      <c r="B40" s="3" t="s">
        <v>246</v>
      </c>
      <c r="C40" s="3" t="s">
        <v>28</v>
      </c>
      <c r="D40" s="3" t="s">
        <v>153</v>
      </c>
      <c r="E40" s="7" t="s">
        <v>33</v>
      </c>
      <c r="F40" s="3" t="s">
        <v>229</v>
      </c>
      <c r="G40" s="3" t="s">
        <v>247</v>
      </c>
      <c r="H40" s="3" t="s">
        <v>248</v>
      </c>
      <c r="I40" s="3" t="s">
        <v>249</v>
      </c>
      <c r="J40" s="3" t="s">
        <v>23</v>
      </c>
      <c r="K40" s="5" t="s">
        <v>24</v>
      </c>
      <c r="L40" s="10" t="s">
        <v>45</v>
      </c>
      <c r="M40" s="3"/>
      <c r="N40" s="8" t="s">
        <v>250</v>
      </c>
    </row>
    <row r="41" customFormat="false" ht="32.8" hidden="false" customHeight="false" outlineLevel="0" collapsed="false">
      <c r="A41" s="2" t="s">
        <v>251</v>
      </c>
      <c r="B41" s="3" t="s">
        <v>252</v>
      </c>
      <c r="C41" s="3" t="s">
        <v>28</v>
      </c>
      <c r="D41" s="3" t="s">
        <v>153</v>
      </c>
      <c r="E41" s="7" t="s">
        <v>33</v>
      </c>
      <c r="F41" s="3" t="s">
        <v>229</v>
      </c>
      <c r="G41" s="3" t="s">
        <v>253</v>
      </c>
      <c r="H41" s="3" t="s">
        <v>254</v>
      </c>
      <c r="I41" s="3" t="s">
        <v>255</v>
      </c>
      <c r="J41" s="3" t="s">
        <v>23</v>
      </c>
      <c r="K41" s="5" t="s">
        <v>24</v>
      </c>
      <c r="L41" s="10" t="s">
        <v>45</v>
      </c>
      <c r="M41" s="3"/>
      <c r="N41" s="8" t="s">
        <v>250</v>
      </c>
    </row>
    <row r="42" customFormat="false" ht="43.25" hidden="false" customHeight="false" outlineLevel="0" collapsed="false">
      <c r="A42" s="2" t="s">
        <v>256</v>
      </c>
      <c r="B42" s="3" t="s">
        <v>257</v>
      </c>
      <c r="C42" s="3" t="s">
        <v>16</v>
      </c>
      <c r="D42" s="3" t="s">
        <v>153</v>
      </c>
      <c r="E42" s="4" t="s">
        <v>18</v>
      </c>
      <c r="F42" s="3" t="s">
        <v>258</v>
      </c>
      <c r="G42" s="3" t="s">
        <v>259</v>
      </c>
      <c r="H42" s="3" t="s">
        <v>260</v>
      </c>
      <c r="I42" s="3" t="s">
        <v>261</v>
      </c>
      <c r="J42" s="3" t="s">
        <v>23</v>
      </c>
      <c r="K42" s="5" t="s">
        <v>24</v>
      </c>
      <c r="L42" s="10" t="s">
        <v>45</v>
      </c>
      <c r="M42" s="3"/>
      <c r="N42" s="8" t="s">
        <v>262</v>
      </c>
    </row>
    <row r="43" customFormat="false" ht="32.8" hidden="false" customHeight="false" outlineLevel="0" collapsed="false">
      <c r="A43" s="2" t="s">
        <v>263</v>
      </c>
      <c r="B43" s="3" t="s">
        <v>264</v>
      </c>
      <c r="C43" s="3" t="s">
        <v>16</v>
      </c>
      <c r="D43" s="3" t="s">
        <v>153</v>
      </c>
      <c r="E43" s="4" t="s">
        <v>18</v>
      </c>
      <c r="F43" s="3" t="s">
        <v>265</v>
      </c>
      <c r="G43" s="3" t="s">
        <v>266</v>
      </c>
      <c r="H43" s="3" t="s">
        <v>267</v>
      </c>
      <c r="I43" s="3" t="s">
        <v>268</v>
      </c>
      <c r="J43" s="3" t="s">
        <v>23</v>
      </c>
      <c r="K43" s="5" t="s">
        <v>24</v>
      </c>
      <c r="L43" s="10" t="s">
        <v>45</v>
      </c>
      <c r="M43" s="3"/>
      <c r="N43" s="8" t="s">
        <v>269</v>
      </c>
    </row>
  </sheetData>
  <autoFilter ref="A1:N43"/>
  <dataValidations count="2">
    <dataValidation allowBlank="true" errorStyle="stop" operator="between" showDropDown="false" showErrorMessage="false" showInputMessage="false" sqref="K2:K43" type="list">
      <formula1>"Passou,Falhou,Pendente,Reexecutar,Não executado,Bloqueado"</formula1>
      <formula2>0</formula2>
    </dataValidation>
    <dataValidation allowBlank="true" errorStyle="stop" operator="between" showDropDown="false" showErrorMessage="false" showInputMessage="false" sqref="E2:E43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5" t="s">
        <v>270</v>
      </c>
    </row>
    <row r="2" customFormat="false" ht="15" hidden="false" customHeight="false" outlineLevel="0" collapsed="false">
      <c r="A2" s="16" t="s">
        <v>271</v>
      </c>
    </row>
    <row r="4" customFormat="false" ht="15" hidden="false" customHeight="false" outlineLevel="0" collapsed="false">
      <c r="A4" s="17" t="s">
        <v>10</v>
      </c>
      <c r="B4" s="17" t="s">
        <v>272</v>
      </c>
      <c r="C4" s="17" t="s">
        <v>273</v>
      </c>
    </row>
    <row r="5" customFormat="false" ht="15" hidden="false" customHeight="false" outlineLevel="0" collapsed="false">
      <c r="A5" s="18" t="s">
        <v>24</v>
      </c>
      <c r="B5" s="18" t="n">
        <f aca="false">COUNTIF('Casos de Teste'!$K$2:$K$43,A5)</f>
        <v>30</v>
      </c>
      <c r="C5" s="19" t="n">
        <f aca="false">IFERROR(B5/$B$10,0)</f>
        <v>0.714285714285714</v>
      </c>
    </row>
    <row r="6" customFormat="false" ht="15" hidden="false" customHeight="false" outlineLevel="0" collapsed="false">
      <c r="A6" s="18" t="s">
        <v>149</v>
      </c>
      <c r="B6" s="18" t="n">
        <f aca="false">COUNTIF('Casos de Teste'!$K$2:$K$43,A6)</f>
        <v>3</v>
      </c>
      <c r="C6" s="19" t="n">
        <f aca="false">IFERROR(B6/$B$10,0)</f>
        <v>0.0714285714285714</v>
      </c>
    </row>
    <row r="7" customFormat="false" ht="15" hidden="false" customHeight="false" outlineLevel="0" collapsed="false">
      <c r="A7" s="18" t="s">
        <v>91</v>
      </c>
      <c r="B7" s="18" t="n">
        <f aca="false">COUNTIF('Casos de Teste'!$K$2:$K$43,A7)</f>
        <v>4</v>
      </c>
      <c r="C7" s="19" t="n">
        <f aca="false">IFERROR(B7/$B$10,0)</f>
        <v>0.0952380952380952</v>
      </c>
    </row>
    <row r="8" customFormat="false" ht="15" hidden="false" customHeight="false" outlineLevel="0" collapsed="false">
      <c r="A8" s="18" t="s">
        <v>108</v>
      </c>
      <c r="B8" s="18" t="n">
        <f aca="false">COUNTIF('Casos de Teste'!$K$2:$K$43,A8)</f>
        <v>3</v>
      </c>
      <c r="C8" s="19" t="n">
        <f aca="false">IFERROR(B8/$B$10,0)</f>
        <v>0.0714285714285714</v>
      </c>
    </row>
    <row r="9" customFormat="false" ht="15" hidden="false" customHeight="false" outlineLevel="0" collapsed="false">
      <c r="A9" s="18" t="s">
        <v>44</v>
      </c>
      <c r="B9" s="18" t="n">
        <f aca="false">COUNTIF('Casos de Teste'!$K$2:$K$43,A9)</f>
        <v>2</v>
      </c>
      <c r="C9" s="19" t="n">
        <f aca="false">IFERROR(B9/$B$10,0)</f>
        <v>0.0476190476190476</v>
      </c>
    </row>
    <row r="10" customFormat="false" ht="15" hidden="false" customHeight="false" outlineLevel="0" collapsed="false">
      <c r="A10" s="20" t="s">
        <v>274</v>
      </c>
      <c r="B10" s="20" t="n">
        <f aca="false">SUM(B5:B9)</f>
        <v>42</v>
      </c>
      <c r="C10" s="21" t="n">
        <f aca="false">IFERROR(B10/$B$10,0)</f>
        <v>1</v>
      </c>
    </row>
    <row r="12" customFormat="false" ht="15" hidden="false" customHeight="false" outlineLevel="0" collapsed="false">
      <c r="A12" s="17" t="s">
        <v>275</v>
      </c>
      <c r="B12" s="17" t="s">
        <v>272</v>
      </c>
      <c r="C12" s="17" t="s">
        <v>273</v>
      </c>
    </row>
    <row r="13" customFormat="false" ht="15" hidden="false" customHeight="false" outlineLevel="0" collapsed="false">
      <c r="A13" s="18" t="s">
        <v>16</v>
      </c>
      <c r="B13" s="18" t="n">
        <f aca="false">COUNTIF('Casos de Teste'!$C$2:$C$43,A13)</f>
        <v>10</v>
      </c>
      <c r="C13" s="19" t="n">
        <f aca="false">IFERROR(B13/$B$17,0)</f>
        <v>0.238095238095238</v>
      </c>
    </row>
    <row r="14" customFormat="false" ht="15" hidden="false" customHeight="false" outlineLevel="0" collapsed="false">
      <c r="A14" s="18" t="s">
        <v>28</v>
      </c>
      <c r="B14" s="18" t="n">
        <f aca="false">COUNTIF('Casos de Teste'!$C$2:$C$43,A14)</f>
        <v>25</v>
      </c>
      <c r="C14" s="19" t="n">
        <f aca="false">IFERROR(B14/$B$17,0)</f>
        <v>0.595238095238095</v>
      </c>
    </row>
    <row r="15" customFormat="false" ht="15" hidden="false" customHeight="false" outlineLevel="0" collapsed="false">
      <c r="A15" s="18" t="s">
        <v>55</v>
      </c>
      <c r="B15" s="18" t="n">
        <f aca="false">COUNTIF('Casos de Teste'!$C$2:$C$43,A15)</f>
        <v>3</v>
      </c>
      <c r="C15" s="19" t="n">
        <f aca="false">IFERROR(B15/$B$17,0)</f>
        <v>0.0714285714285714</v>
      </c>
    </row>
    <row r="16" customFormat="false" ht="15" hidden="false" customHeight="false" outlineLevel="0" collapsed="false">
      <c r="A16" s="18" t="s">
        <v>86</v>
      </c>
      <c r="B16" s="18" t="n">
        <f aca="false">COUNTIF('Casos de Teste'!$C$2:$C$43,A16)</f>
        <v>4</v>
      </c>
      <c r="C16" s="19" t="n">
        <f aca="false">IFERROR(B16/$B$17,0)</f>
        <v>0.0952380952380952</v>
      </c>
    </row>
    <row r="17" customFormat="false" ht="15" hidden="false" customHeight="false" outlineLevel="0" collapsed="false">
      <c r="A17" s="20" t="s">
        <v>274</v>
      </c>
      <c r="B17" s="20" t="n">
        <f aca="false">SUM(B13:B16)</f>
        <v>42</v>
      </c>
      <c r="C17" s="21" t="n">
        <f aca="false">IFERROR(B17/$B$17,0)</f>
        <v>1</v>
      </c>
    </row>
    <row r="19" customFormat="false" ht="15" hidden="false" customHeight="false" outlineLevel="0" collapsed="false">
      <c r="A19" s="17" t="s">
        <v>4</v>
      </c>
      <c r="B19" s="17" t="s">
        <v>272</v>
      </c>
      <c r="C19" s="17" t="s">
        <v>273</v>
      </c>
    </row>
    <row r="20" customFormat="false" ht="15" hidden="false" customHeight="false" outlineLevel="0" collapsed="false">
      <c r="A20" s="18" t="s">
        <v>18</v>
      </c>
      <c r="B20" s="18" t="n">
        <f aca="false">COUNTIF('Casos de Teste'!$E$2:$E$43,A20)</f>
        <v>17</v>
      </c>
      <c r="C20" s="19" t="n">
        <f aca="false">IFERROR(B20/$B$23,0)</f>
        <v>0.404761904761905</v>
      </c>
    </row>
    <row r="21" customFormat="false" ht="15" hidden="false" customHeight="false" outlineLevel="0" collapsed="false">
      <c r="A21" s="18" t="s">
        <v>33</v>
      </c>
      <c r="B21" s="18" t="n">
        <f aca="false">COUNTIF('Casos de Teste'!$E$2:$E$43,A21)</f>
        <v>21</v>
      </c>
      <c r="C21" s="19" t="n">
        <f aca="false">IFERROR(B21/$B$23,0)</f>
        <v>0.5</v>
      </c>
    </row>
    <row r="22" customFormat="false" ht="15" hidden="false" customHeight="false" outlineLevel="0" collapsed="false">
      <c r="A22" s="18" t="s">
        <v>87</v>
      </c>
      <c r="B22" s="18" t="n">
        <f aca="false">COUNTIF('Casos de Teste'!$E$2:$E$43,A22)</f>
        <v>4</v>
      </c>
      <c r="C22" s="19" t="n">
        <f aca="false">IFERROR(B22/$B$23,0)</f>
        <v>0.0952380952380952</v>
      </c>
    </row>
    <row r="23" customFormat="false" ht="15" hidden="false" customHeight="false" outlineLevel="0" collapsed="false">
      <c r="A23" s="20" t="s">
        <v>274</v>
      </c>
      <c r="B23" s="20" t="n">
        <f aca="false">SUM(B20:B22)</f>
        <v>42</v>
      </c>
      <c r="C23" s="21" t="n">
        <f aca="false">IFERROR(B23/$B$23,0)</f>
        <v>1</v>
      </c>
    </row>
    <row r="25" customFormat="false" ht="15" hidden="false" customHeight="false" outlineLevel="0" collapsed="false">
      <c r="A25" s="17" t="s">
        <v>276</v>
      </c>
      <c r="B25" s="17" t="s">
        <v>272</v>
      </c>
      <c r="C25" s="17" t="s">
        <v>273</v>
      </c>
    </row>
    <row r="26" customFormat="false" ht="15" hidden="false" customHeight="false" outlineLevel="0" collapsed="false">
      <c r="A26" s="18" t="s">
        <v>11</v>
      </c>
      <c r="B26" s="18" t="n">
        <f aca="false">COUNTIF('Casos de Teste'!$L$2:$L$43,"Sim*")</f>
        <v>25</v>
      </c>
      <c r="C26" s="19" t="n">
        <f aca="false">IFERROR(B26/$B$28,0)</f>
        <v>0.595238095238095</v>
      </c>
    </row>
    <row r="27" customFormat="false" ht="15" hidden="false" customHeight="false" outlineLevel="0" collapsed="false">
      <c r="A27" s="18" t="s">
        <v>277</v>
      </c>
      <c r="B27" s="18" t="n">
        <f aca="false">COUNTIF('Casos de Teste'!$L$2:$L$43,"Não")</f>
        <v>17</v>
      </c>
      <c r="C27" s="19" t="n">
        <f aca="false">IFERROR(B27/$B$28,0)</f>
        <v>0.404761904761905</v>
      </c>
    </row>
    <row r="28" customFormat="false" ht="15" hidden="false" customHeight="false" outlineLevel="0" collapsed="false">
      <c r="A28" s="20" t="s">
        <v>274</v>
      </c>
      <c r="B28" s="20" t="n">
        <f aca="false">SUM(B26:B27)</f>
        <v>42</v>
      </c>
      <c r="D28" s="16" t="s">
        <v>278</v>
      </c>
    </row>
    <row r="30" customFormat="false" ht="15" hidden="false" customHeight="false" outlineLevel="0" collapsed="false">
      <c r="A30" s="17" t="s">
        <v>279</v>
      </c>
      <c r="B30" s="17" t="s">
        <v>280</v>
      </c>
      <c r="D30" s="17" t="s">
        <v>281</v>
      </c>
    </row>
    <row r="31" customFormat="false" ht="15" hidden="false" customHeight="false" outlineLevel="0" collapsed="false">
      <c r="A31" s="18" t="s">
        <v>17</v>
      </c>
      <c r="B31" s="18" t="n">
        <f aca="false">COUNTIF('Casos de Teste'!$D$2:$D$43,A31)</f>
        <v>8</v>
      </c>
      <c r="D31" s="22" t="s">
        <v>282</v>
      </c>
    </row>
    <row r="32" customFormat="false" ht="15" hidden="false" customHeight="false" outlineLevel="0" collapsed="false">
      <c r="A32" s="18" t="s">
        <v>72</v>
      </c>
      <c r="B32" s="18" t="n">
        <f aca="false">COUNTIF('Casos de Teste'!$D$2:$D$43,A32)</f>
        <v>14</v>
      </c>
      <c r="D32" s="22" t="s">
        <v>283</v>
      </c>
    </row>
    <row r="33" customFormat="false" ht="15" hidden="false" customHeight="false" outlineLevel="0" collapsed="false">
      <c r="A33" s="18" t="s">
        <v>153</v>
      </c>
      <c r="B33" s="18" t="n">
        <f aca="false">COUNTIF('Casos de Teste'!$D$2:$D$43,A33)</f>
        <v>20</v>
      </c>
      <c r="D33" s="22" t="s">
        <v>284</v>
      </c>
    </row>
    <row r="34" customFormat="false" ht="15" hidden="false" customHeight="false" outlineLevel="0" collapsed="false">
      <c r="A34" s="18" t="s">
        <v>285</v>
      </c>
      <c r="B34" s="18" t="n">
        <f aca="false">COUNTIF('Casos de Teste'!$D$2:$D$43,A34)</f>
        <v>0</v>
      </c>
      <c r="D34" s="23" t="s">
        <v>286</v>
      </c>
    </row>
    <row r="35" customFormat="false" ht="15" hidden="false" customHeight="false" outlineLevel="0" collapsed="false">
      <c r="A35" s="18" t="s">
        <v>287</v>
      </c>
      <c r="B35" s="18" t="n">
        <f aca="false">COUNTIF('Casos de Teste'!$D$2:$D$43,A35)</f>
        <v>0</v>
      </c>
      <c r="D35" s="23" t="s">
        <v>286</v>
      </c>
    </row>
    <row r="36" customFormat="false" ht="15" hidden="false" customHeight="false" outlineLevel="0" collapsed="false">
      <c r="A36" s="18" t="s">
        <v>288</v>
      </c>
      <c r="B36" s="18" t="n">
        <f aca="false">COUNTIF('Casos de Teste'!$D$2:$D$43,A36)</f>
        <v>0</v>
      </c>
      <c r="D36" s="23" t="s">
        <v>286</v>
      </c>
    </row>
    <row r="37" customFormat="false" ht="15" hidden="false" customHeight="false" outlineLevel="0" collapsed="false">
      <c r="A37" s="18" t="s">
        <v>289</v>
      </c>
      <c r="B37" s="18" t="n">
        <f aca="false">COUNTIF('Casos de Teste'!$D$2:$D$43,A37)</f>
        <v>0</v>
      </c>
      <c r="D37" s="23" t="s">
        <v>286</v>
      </c>
    </row>
    <row r="38" customFormat="false" ht="15" hidden="false" customHeight="false" outlineLevel="0" collapsed="false">
      <c r="A38" s="18" t="s">
        <v>290</v>
      </c>
      <c r="B38" s="18" t="n">
        <f aca="false">COUNTIF('Casos de Teste'!$D$2:$D$43,A38)</f>
        <v>0</v>
      </c>
      <c r="D38" s="2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52"/>
    <col collapsed="false" customWidth="true" hidden="false" outlineLevel="0" max="10" min="10" style="0" width="56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291</v>
      </c>
      <c r="D1" s="1" t="s">
        <v>3</v>
      </c>
      <c r="E1" s="1" t="s">
        <v>292</v>
      </c>
      <c r="F1" s="1" t="s">
        <v>4</v>
      </c>
      <c r="G1" s="1" t="s">
        <v>293</v>
      </c>
      <c r="H1" s="1" t="s">
        <v>8</v>
      </c>
      <c r="I1" s="1" t="s">
        <v>9</v>
      </c>
      <c r="J1" s="1" t="s">
        <v>294</v>
      </c>
      <c r="K1" s="1" t="s">
        <v>12</v>
      </c>
    </row>
    <row r="2" customFormat="false" ht="64.15" hidden="false" customHeight="false" outlineLevel="0" collapsed="false">
      <c r="A2" s="2" t="s">
        <v>295</v>
      </c>
      <c r="B2" s="3" t="s">
        <v>296</v>
      </c>
      <c r="C2" s="3" t="s">
        <v>142</v>
      </c>
      <c r="D2" s="3" t="s">
        <v>72</v>
      </c>
      <c r="E2" s="7" t="s">
        <v>33</v>
      </c>
      <c r="F2" s="7" t="s">
        <v>33</v>
      </c>
      <c r="G2" s="3" t="s">
        <v>297</v>
      </c>
      <c r="H2" s="3" t="s">
        <v>298</v>
      </c>
      <c r="I2" s="3" t="s">
        <v>299</v>
      </c>
      <c r="J2" s="3" t="s">
        <v>300</v>
      </c>
      <c r="K2" s="3"/>
    </row>
    <row r="3" customFormat="false" ht="105.95" hidden="false" customHeight="false" outlineLevel="0" collapsed="false">
      <c r="A3" s="2" t="s">
        <v>301</v>
      </c>
      <c r="B3" s="3" t="s">
        <v>302</v>
      </c>
      <c r="C3" s="3" t="s">
        <v>189</v>
      </c>
      <c r="D3" s="3" t="s">
        <v>153</v>
      </c>
      <c r="E3" s="4" t="s">
        <v>18</v>
      </c>
      <c r="F3" s="7" t="s">
        <v>33</v>
      </c>
      <c r="G3" s="3" t="s">
        <v>303</v>
      </c>
      <c r="H3" s="3" t="s">
        <v>304</v>
      </c>
      <c r="I3" s="3" t="s">
        <v>305</v>
      </c>
      <c r="J3" s="3" t="s">
        <v>306</v>
      </c>
      <c r="K3" s="3"/>
    </row>
    <row r="4" customFormat="false" ht="53.7" hidden="false" customHeight="false" outlineLevel="0" collapsed="false">
      <c r="A4" s="2" t="s">
        <v>307</v>
      </c>
      <c r="B4" s="3" t="s">
        <v>308</v>
      </c>
      <c r="C4" s="3" t="s">
        <v>219</v>
      </c>
      <c r="D4" s="3" t="s">
        <v>153</v>
      </c>
      <c r="E4" s="4" t="s">
        <v>18</v>
      </c>
      <c r="F4" s="4" t="s">
        <v>18</v>
      </c>
      <c r="G4" s="3" t="s">
        <v>309</v>
      </c>
      <c r="H4" s="3" t="s">
        <v>310</v>
      </c>
      <c r="I4" s="3" t="s">
        <v>311</v>
      </c>
      <c r="J4" s="3" t="s">
        <v>312</v>
      </c>
      <c r="K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15" t="s">
        <v>313</v>
      </c>
    </row>
    <row r="3" customFormat="false" ht="15" hidden="false" customHeight="false" outlineLevel="0" collapsed="false">
      <c r="A3" s="20"/>
      <c r="B3" s="24"/>
    </row>
    <row r="4" customFormat="false" ht="15" hidden="false" customHeight="false" outlineLevel="0" collapsed="false">
      <c r="A4" s="17" t="s">
        <v>10</v>
      </c>
      <c r="B4" s="25"/>
    </row>
    <row r="5" customFormat="false" ht="15" hidden="false" customHeight="false" outlineLevel="0" collapsed="false">
      <c r="A5" s="20" t="s">
        <v>24</v>
      </c>
      <c r="B5" s="24" t="s">
        <v>314</v>
      </c>
    </row>
    <row r="6" customFormat="false" ht="15" hidden="false" customHeight="false" outlineLevel="0" collapsed="false">
      <c r="A6" s="20" t="s">
        <v>149</v>
      </c>
      <c r="B6" s="24" t="s">
        <v>315</v>
      </c>
    </row>
    <row r="7" customFormat="false" ht="23.85" hidden="false" customHeight="false" outlineLevel="0" collapsed="false">
      <c r="A7" s="20" t="s">
        <v>91</v>
      </c>
      <c r="B7" s="24" t="s">
        <v>316</v>
      </c>
    </row>
    <row r="8" customFormat="false" ht="15" hidden="false" customHeight="false" outlineLevel="0" collapsed="false">
      <c r="A8" s="20" t="s">
        <v>108</v>
      </c>
      <c r="B8" s="24" t="s">
        <v>317</v>
      </c>
    </row>
    <row r="9" customFormat="false" ht="15" hidden="false" customHeight="false" outlineLevel="0" collapsed="false">
      <c r="A9" s="20" t="s">
        <v>44</v>
      </c>
      <c r="B9" s="24" t="s">
        <v>318</v>
      </c>
    </row>
    <row r="10" customFormat="false" ht="15" hidden="false" customHeight="false" outlineLevel="0" collapsed="false">
      <c r="A10" s="20" t="s">
        <v>319</v>
      </c>
      <c r="B10" s="24" t="s">
        <v>320</v>
      </c>
    </row>
    <row r="11" customFormat="false" ht="15" hidden="false" customHeight="false" outlineLevel="0" collapsed="false">
      <c r="A11" s="20"/>
      <c r="B11" s="24"/>
    </row>
    <row r="12" customFormat="false" ht="15" hidden="false" customHeight="false" outlineLevel="0" collapsed="false">
      <c r="A12" s="17" t="s">
        <v>4</v>
      </c>
      <c r="B12" s="25"/>
    </row>
    <row r="13" customFormat="false" ht="15" hidden="false" customHeight="false" outlineLevel="0" collapsed="false">
      <c r="A13" s="20" t="s">
        <v>18</v>
      </c>
      <c r="B13" s="24" t="s">
        <v>321</v>
      </c>
    </row>
    <row r="14" customFormat="false" ht="15" hidden="false" customHeight="false" outlineLevel="0" collapsed="false">
      <c r="A14" s="20" t="s">
        <v>33</v>
      </c>
      <c r="B14" s="24" t="s">
        <v>322</v>
      </c>
    </row>
    <row r="15" customFormat="false" ht="15" hidden="false" customHeight="false" outlineLevel="0" collapsed="false">
      <c r="A15" s="20" t="s">
        <v>87</v>
      </c>
      <c r="B15" s="24" t="s">
        <v>323</v>
      </c>
    </row>
    <row r="16" customFormat="false" ht="15" hidden="false" customHeight="false" outlineLevel="0" collapsed="false">
      <c r="A16" s="20"/>
      <c r="B16" s="24"/>
    </row>
    <row r="17" customFormat="false" ht="15" hidden="false" customHeight="false" outlineLevel="0" collapsed="false">
      <c r="A17" s="17" t="s">
        <v>2</v>
      </c>
      <c r="B17" s="25"/>
    </row>
    <row r="18" customFormat="false" ht="15" hidden="false" customHeight="false" outlineLevel="0" collapsed="false">
      <c r="A18" s="20" t="s">
        <v>16</v>
      </c>
      <c r="B18" s="24" t="s">
        <v>324</v>
      </c>
    </row>
    <row r="19" customFormat="false" ht="15" hidden="false" customHeight="false" outlineLevel="0" collapsed="false">
      <c r="A19" s="20" t="s">
        <v>28</v>
      </c>
      <c r="B19" s="24" t="s">
        <v>325</v>
      </c>
    </row>
    <row r="20" customFormat="false" ht="15" hidden="false" customHeight="false" outlineLevel="0" collapsed="false">
      <c r="A20" s="20" t="s">
        <v>55</v>
      </c>
      <c r="B20" s="24" t="s">
        <v>326</v>
      </c>
    </row>
    <row r="21" customFormat="false" ht="15" hidden="false" customHeight="false" outlineLevel="0" collapsed="false">
      <c r="A21" s="20" t="s">
        <v>86</v>
      </c>
      <c r="B21" s="24" t="s">
        <v>327</v>
      </c>
    </row>
    <row r="22" customFormat="false" ht="15" hidden="false" customHeight="false" outlineLevel="0" collapsed="false">
      <c r="A22" s="20"/>
      <c r="B22" s="24"/>
    </row>
    <row r="23" customFormat="false" ht="15" hidden="false" customHeight="false" outlineLevel="0" collapsed="false">
      <c r="A23" s="20" t="s">
        <v>328</v>
      </c>
      <c r="B23" s="24" t="s">
        <v>329</v>
      </c>
    </row>
    <row r="24" customFormat="false" ht="15" hidden="false" customHeight="false" outlineLevel="0" collapsed="false">
      <c r="A24" s="20" t="s">
        <v>330</v>
      </c>
      <c r="B24" s="24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2026-08-07T03:09:37Z</dcterms:created>
  <dc:creator>openpyxl</dc:creator>
  <dc:description/>
  <dc:language>en-US</dc:language>
  <cp:lastModifiedBy/>
  <dcterms:modified xsi:type="dcterms:W3CDTF">2026-08-07T03:09:37Z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